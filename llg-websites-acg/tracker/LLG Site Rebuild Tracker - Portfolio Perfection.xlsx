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8361dc7d9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tracker" sheetId="1" r:id="Rb97d3d5e8d8641a5"/>
    <x:sheet xmlns:r="http://schemas.openxmlformats.org/officeDocument/2006/relationships" name="Source data" sheetId="2" r:id="Re7ae840454944dd8"/>
    <x:sheet xmlns:r="http://schemas.openxmlformats.org/officeDocument/2006/relationships" name="Overview" sheetId="3" r:id="Rf74c094445054db7"/>
    <x:sheet xmlns:r="http://schemas.openxmlformats.org/officeDocument/2006/relationships" name="Production gates" sheetId="4" r:id="R094fde6d92d24e53"/>
    <x:sheet xmlns:r="http://schemas.openxmlformats.org/officeDocument/2006/relationships" name="Style map" sheetId="5" r:id="Rc1006c8824af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A4E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334E68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right" vertical="top" wrapText="1"/>
    </x:xf>
    <x:xf numFmtId="200" fontId="2" fillId="4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3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e1d77903145f3" /><Relationship Type="http://schemas.openxmlformats.org/officeDocument/2006/relationships/theme" Target="/xl/theme/theme1.xml" Id="R6b7ef8313da5488c" /><Relationship Type="http://schemas.openxmlformats.org/officeDocument/2006/relationships/sharedStrings" Target="/xl/sharedStrings.xml" Id="Rd3afc72833dd4ffc" /><Relationship Type="http://schemas.openxmlformats.org/officeDocument/2006/relationships/worksheet" Target="/xl/worksheets/sheet1.xml" Id="Rb97d3d5e8d8641a5" /><Relationship Type="http://schemas.openxmlformats.org/officeDocument/2006/relationships/worksheet" Target="/xl/worksheets/sheet2.xml" Id="Re7ae840454944dd8" /><Relationship Type="http://schemas.openxmlformats.org/officeDocument/2006/relationships/worksheet" Target="/xl/worksheets/sheet3.xml" Id="Rf74c094445054db7" /><Relationship Type="http://schemas.openxmlformats.org/officeDocument/2006/relationships/worksheet" Target="/xl/worksheets/sheet4.xml" Id="R094fde6d92d24e53" /><Relationship Type="http://schemas.openxmlformats.org/officeDocument/2006/relationships/worksheet" Target="/xl/worksheets/sheet5.xml" Id="Rc1006c8824af4de4" /></Relationships>
</file>

<file path=xl/tables/table1.xml><?xml version="1.0" encoding="utf-8"?>
<x:table xmlns:x="http://schemas.openxmlformats.org/spreadsheetml/2006/main" id="1" name="PortfolioTracker" displayName="PortfolioTracker" ref="A1:Y30" headerRowCount="1" totalsRowCount="0" totalsRowShown="0">
  <x:tableColumns count="25">
    <x:tableColumn id="1" name="Site"/>
    <x:tableColumn id="2" name="Site key"/>
    <x:tableColumn id="3" name="Target domain"/>
    <x:tableColumn id="4" name="Trade"/>
    <x:tableColumn id="5" name="Primary market"/>
    <x:tableColumn id="6" name="Brand board"/>
    <x:tableColumn id="7" name="Assigned clone"/>
    <x:tableColumn id="8" name="Palette"/>
    <x:tableColumn id="9" name="Heading / body type"/>
    <x:tableColumn id="10" name="Logo status"/>
    <x:tableColumn id="11" name="Photo inventory"/>
    <x:tableColumn id="12" name="Review inventory"/>
    <x:tableColumn id="13" name="pSEO system"/>
    <x:tableColumn id="14" name="Metadata / schema"/>
    <x:tableColumn id="15" name="Form route"/>
    <x:tableColumn id="16" name="Phone route"/>
    <x:tableColumn id="17" name="SMS"/>
    <x:tableColumn id="18" name="GBP evidence"/>
    <x:tableColumn id="19" name="Desktop / mobile QA"/>
    <x:tableColumn id="20" name="Live route QA"/>
    <x:tableColumn id="21" name="Preview URL"/>
    <x:tableColumn id="22" name="Production target"/>
    <x:tableColumn id="23" name="Index state"/>
    <x:tableColumn id="24" name="Release state"/>
    <x:tableColumn id="25" name="Blocking work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rtfolioSourceData" displayName="PortfolioSourceData" ref="A1:F30" headerRowCount="1" totalsRowCount="0" totalsRowShown="0">
  <x:tableColumns count="6">
    <x:tableColumn id="1" name="Site key"/>
    <x:tableColumn id="2" name="Target domain"/>
    <x:tableColumn id="3" name="CallRail status"/>
    <x:tableColumn id="4" name="Page count"/>
    <x:tableColumn id="5" name="Photo inventory"/>
    <x:tableColumn id="6" name="Review invent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8278db0a2b4b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537e251d634a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9" hidden="0" customWidth="1"/>
    <x:col min="3" max="3" width="29" hidden="0" customWidth="1"/>
    <x:col min="4" max="4" width="20" hidden="0" customWidth="1"/>
    <x:col min="5" max="5" width="20" hidden="0" customWidth="1"/>
    <x:col min="6" max="6" width="27" hidden="0" customWidth="1"/>
    <x:col min="7" max="7" width="27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48" hidden="0" customWidth="1"/>
    <x:col min="14" max="14" width="48" hidden="0" customWidth="1"/>
    <x:col min="15" max="15" width="43" hidden="0" customWidth="1"/>
    <x:col min="16" max="16" width="43" hidden="0" customWidth="1"/>
    <x:col min="17" max="17" width="43" hidden="0" customWidth="1"/>
    <x:col min="18" max="18" width="42" hidden="0" customWidth="1"/>
    <x:col min="19" max="19" width="42" hidden="0" customWidth="1"/>
    <x:col min="20" max="20" width="42" hidden="0" customWidth="1"/>
    <x:col min="21" max="21" width="48" hidden="0" customWidth="1"/>
    <x:col min="22" max="22" width="48" hidden="0" customWidth="1"/>
    <x:col min="23" max="23" width="38" hidden="0" customWidth="1"/>
    <x:col min="24" max="24" width="38" hidden="0" customWidth="1"/>
    <x:col min="25" max="25" width="64" hidden="0" customWidth="1"/>
  </x:cols>
  <x:sheetData>
    <x:row r="1" ht="44" customHeight="1">
      <x:c r="A1" s="5" t="str">
        <x:v>Site</x:v>
      </x:c>
      <x:c r="B1" s="5" t="str">
        <x:v>Site key</x:v>
      </x:c>
      <x:c r="C1" s="5" t="str">
        <x:v>Target domain</x:v>
      </x:c>
      <x:c r="D1" s="5" t="str">
        <x:v>Trade</x:v>
      </x:c>
      <x:c r="E1" s="5" t="str">
        <x:v>Primary market</x:v>
      </x:c>
      <x:c r="F1" s="5" t="str">
        <x:v>Brand board</x:v>
      </x:c>
      <x:c r="G1" s="5" t="str">
        <x:v>Assigned clone</x:v>
      </x:c>
      <x:c r="H1" s="5" t="str">
        <x:v>Palette</x:v>
      </x:c>
      <x:c r="I1" s="5" t="str">
        <x:v>Heading / body type</x:v>
      </x:c>
      <x:c r="J1" s="5" t="str">
        <x:v>Logo status</x:v>
      </x:c>
      <x:c r="K1" s="5" t="str">
        <x:v>Photo inventory</x:v>
      </x:c>
      <x:c r="L1" s="5" t="str">
        <x:v>Review inventory</x:v>
      </x:c>
      <x:c r="M1" s="5" t="str">
        <x:v>pSEO system</x:v>
      </x:c>
      <x:c r="N1" s="5" t="str">
        <x:v>Metadata / schema</x:v>
      </x:c>
      <x:c r="O1" s="5" t="str">
        <x:v>Form route</x:v>
      </x:c>
      <x:c r="P1" s="5" t="str">
        <x:v>Phone route</x:v>
      </x:c>
      <x:c r="Q1" s="5" t="str">
        <x:v>SMS</x:v>
      </x:c>
      <x:c r="R1" s="5" t="str">
        <x:v>GBP evidence</x:v>
      </x:c>
      <x:c r="S1" s="5" t="str">
        <x:v>Desktop / mobile QA</x:v>
      </x:c>
      <x:c r="T1" s="5" t="str">
        <x:v>Live route QA</x:v>
      </x:c>
      <x:c r="U1" s="5" t="str">
        <x:v>Preview URL</x:v>
      </x:c>
      <x:c r="V1" s="5" t="str">
        <x:v>Production target</x:v>
      </x:c>
      <x:c r="W1" s="5" t="str">
        <x:v>Index state</x:v>
      </x:c>
      <x:c r="X1" s="5" t="str">
        <x:v>Release state</x:v>
      </x:c>
      <x:c r="Y1" s="5" t="str">
        <x:v>Blocking work / notes</x:v>
      </x:c>
    </x:row>
    <x:row r="2" ht="76" customHeight="1">
      <x:c r="A2" s="7" t="str">
        <x:v>Austin Drain Guys</x:v>
      </x:c>
      <x:c r="B2" s="7" t="str">
        <x:v>austin-drain-guys</x:v>
      </x:c>
      <x:c r="C2" s="7" t="str">
        <x:v>austindrainguys.com</x:v>
      </x:c>
      <x:c r="D2" s="7" t="str">
        <x:v>Drainage</x:v>
      </x:c>
      <x:c r="E2" s="7" t="str">
        <x:v>Austin, TX</x:v>
      </x:c>
      <x:c r="F2" s="7" t="str">
        <x:v>Austin Drain Guys.jpeg</x:v>
      </x:c>
      <x:c r="G2" s="7" t="str">
        <x:v>HorizonFix</x:v>
      </x:c>
      <x:c r="H2" s="7" t="str">
        <x:v>primary: #0D1B2A | secondary: #415A6B | accent: #E4572E | neutral: #F4F1EA</x:v>
      </x:c>
      <x:c r="I2" s="7" t="str">
        <x:v>Bebas Neue / DM Sans</x:v>
      </x:c>
      <x:c r="J2" s="7" t="str">
        <x:v>Approved brand-board primary mark, icon and favicon extracted locally; vector/reversed variants remain optional production refinements</x:v>
      </x:c>
      <x:c r="K2" s="7" t="str">
        <x:v>3 generated trade images from prior LLG workspace; provenance recorded</x:v>
      </x:c>
      <x:c r="L2" s="7" t="str">
        <x:v>Three site-specific customer review excerpts are present; source records remain a production gate</x:v>
      </x:c>
      <x:c r="M2" s="7" t="str">
        <x:v>12 crawlable pages; four service pages; primary city only; adjacent-city pages blocked</x:v>
      </x:c>
      <x:c r="N2" s="7" t="str">
        <x:v>Unique title, description and H1; breadcrumbs; Organization/WebSite/Service schema; no rating schema; staging canonical omitted</x:v>
      </x:c>
      <x:c r="O2" s="7" t="str">
        <x:v>Verified: Turnstile -&gt; Worker /v1/website-leads -&gt; Supabase provider ingest; live test lead recorded</x:v>
      </x:c>
      <x:c r="P2" s="7" t="str">
        <x:v>Verified CallRail tracker: 512-270-6356</x:v>
      </x:c>
      <x:c r="Q2" s="7" t="str">
        <x:v>Optional checkbox unchecked; automated texting disabled</x:v>
      </x:c>
      <x:c r="R2" s="7" t="str">
        <x:v>not-verified; source: portfolio workbook; production recheck required</x:v>
      </x:c>
      <x:c r="S2" s="7" t="str">
        <x:v>Pass: 1440x900, 390x844, 320x780; no overflow or broken images</x:v>
      </x:c>
      <x:c r="T2" s="7" t="str">
        <x:v>Pass: all pages, robots and sitemap; portfolio total 406/406 after current redeploy</x:v>
      </x:c>
      <x:c r="U2" s="7" t="str">
        <x:v>https://clone-rebuild.austin-drain-guys.pages.dev</x:v>
      </x:c>
      <x:c r="V2" s="7" t="str">
        <x:v>https://austindrainguys.com (not promoted)</x:v>
      </x:c>
      <x:c r="W2" s="7" t="str">
        <x:v>noindex, nofollow; empty staging sitemap; no staging canonical</x:v>
      </x:c>
      <x:c r="X2" s="7" t="str">
        <x:v>Preview deployed and QA passed; production held</x:v>
      </x:c>
      <x:c r="Y2" s="7" t="str">
        <x:v>routing approval; claim review; phone forwarding test; canonical/domain approval; review source records and site-specific project photos; production performance trace</x:v>
      </x:c>
    </x:row>
    <x:row r="3" ht="76" customHeight="1">
      <x:c r="A3" s="7" t="str">
        <x:v>Baltimore French Drain</x:v>
      </x:c>
      <x:c r="B3" s="7" t="str">
        <x:v>baltimore-french-drain</x:v>
      </x:c>
      <x:c r="C3" s="7" t="str">
        <x:v>baltimorefrenchdrain.com</x:v>
      </x:c>
      <x:c r="D3" s="7" t="str">
        <x:v>Drainage</x:v>
      </x:c>
      <x:c r="E3" s="7" t="str">
        <x:v>Baltimore, MD</x:v>
      </x:c>
      <x:c r="F3" s="7" t="str">
        <x:v>Blatimore French Drain.jpeg</x:v>
      </x:c>
      <x:c r="G3" s="7" t="str">
        <x:v>Roof Right Now</x:v>
      </x:c>
      <x:c r="H3" s="7" t="str">
        <x:v>primary: #0A1F3D | secondary: #3B4A63 | accent: #93C23D | neutral: #F2F4F7</x:v>
      </x:c>
      <x:c r="I3" s="7" t="str">
        <x:v>Barlow Condensed / DM Sans</x:v>
      </x:c>
      <x:c r="J3" s="7" t="str">
        <x:v>Approved brand-board primary mark, icon and favicon extracted locally; vector/reversed variants remain optional production refinements</x:v>
      </x:c>
      <x:c r="K3" s="7" t="str">
        <x:v>3 generated trade images from prior LLG workspace; provenance recorded</x:v>
      </x:c>
      <x:c r="L3" s="7" t="str">
        <x:v>Three site-specific customer review excerpts are present; source records remain a production gate</x:v>
      </x:c>
      <x:c r="M3" s="7" t="str">
        <x:v>12 crawlable pages; four service pages; primary city only; adjacent-city pages blocked</x:v>
      </x:c>
      <x:c r="N3" s="7" t="str">
        <x:v>Unique title, description and H1; breadcrumbs; Organization/WebSite/Service schema; no rating schema; staging canonical omitted</x:v>
      </x:c>
      <x:c r="O3" s="7" t="str">
        <x:v>Verified: Turnstile -&gt; Worker /v1/website-leads -&gt; Supabase provider ingest; live test lead recorded</x:v>
      </x:c>
      <x:c r="P3" s="7" t="str">
        <x:v>Verified CallRail tracker: 410-770-2644</x:v>
      </x:c>
      <x:c r="Q3" s="7" t="str">
        <x:v>Optional checkbox unchecked; automated texting disabled</x:v>
      </x:c>
      <x:c r="R3" s="7" t="str">
        <x:v>not-verified; source: portfolio workbook; production recheck required</x:v>
      </x:c>
      <x:c r="S3" s="7" t="str">
        <x:v>Pass: 1440x900, 390x844, 320x780; no overflow or broken images</x:v>
      </x:c>
      <x:c r="T3" s="7" t="str">
        <x:v>Pass: all pages, robots and sitemap; portfolio total 406/406 after current redeploy</x:v>
      </x:c>
      <x:c r="U3" s="7" t="str">
        <x:v>https://clone-rebuild.baltimore-french-drain.pages.dev</x:v>
      </x:c>
      <x:c r="V3" s="7" t="str">
        <x:v>https://baltimorefrenchdrain.com (not promoted)</x:v>
      </x:c>
      <x:c r="W3" s="7" t="str">
        <x:v>noindex, nofollow; empty staging sitemap; no staging canonical</x:v>
      </x:c>
      <x:c r="X3" s="7" t="str">
        <x:v>Preview deployed and QA passed; production held</x:v>
      </x:c>
      <x:c r="Y3" s="7" t="str">
        <x:v>routing approval; claim review; phone forwarding test; canonical/domain approval; review source records and site-specific project photos; production performance trace</x:v>
      </x:c>
    </x:row>
    <x:row r="4" ht="76" customHeight="1">
      <x:c r="A4" s="7" t="str">
        <x:v>Charlotte Crawl Space</x:v>
      </x:c>
      <x:c r="B4" s="7" t="str">
        <x:v>charlotte-crawl-space</x:v>
      </x:c>
      <x:c r="C4" s="7" t="str">
        <x:v>charlottecrawlspace.com</x:v>
      </x:c>
      <x:c r="D4" s="7" t="str">
        <x:v>Crawlspace</x:v>
      </x:c>
      <x:c r="E4" s="7" t="str">
        <x:v>Charlotte, NC</x:v>
      </x:c>
      <x:c r="F4" s="7" t="str">
        <x:v>Charlotte Crawl Space.jpeg</x:v>
      </x:c>
      <x:c r="G4" s="7" t="str">
        <x:v>NextGen Windows</x:v>
      </x:c>
      <x:c r="H4" s="7" t="str">
        <x:v>primary: #1F2D36 | secondary: #3D6E7A | accent: #A18C78 | neutral: #F3F1ED</x:v>
      </x:c>
      <x:c r="I4" s="7" t="str">
        <x:v>Bellota / Manrope</x:v>
      </x:c>
      <x:c r="J4" s="7" t="str">
        <x:v>Approved brand-board primary mark, icon and favicon extracted locally; vector/reversed variants remain optional production refinements</x:v>
      </x:c>
      <x:c r="K4" s="7" t="str">
        <x:v>3 generated trade images from prior LLG workspace; provenance recorded</x:v>
      </x:c>
      <x:c r="L4" s="7" t="str">
        <x:v>Three site-specific customer review excerpts are present; source records remain a production gate</x:v>
      </x:c>
      <x:c r="M4" s="7" t="str">
        <x:v>12 crawlable pages; four service pages; primary city only; adjacent-city pages blocked</x:v>
      </x:c>
      <x:c r="N4" s="7" t="str">
        <x:v>Unique title, description and H1; breadcrumbs; Organization/WebSite/Service schema; no rating schema; staging canonical omitted</x:v>
      </x:c>
      <x:c r="O4" s="7" t="str">
        <x:v>Verified: Turnstile -&gt; Worker /v1/website-leads -&gt; Supabase provider ingest; live test lead recorded</x:v>
      </x:c>
      <x:c r="P4" s="7" t="str">
        <x:v>Verified CallRail tracker: 704-288-4170</x:v>
      </x:c>
      <x:c r="Q4" s="7" t="str">
        <x:v>Optional checkbox unchecked; automated texting disabled</x:v>
      </x:c>
      <x:c r="R4" s="7" t="str">
        <x:v>not-verified; source: portfolio workbook; production recheck required</x:v>
      </x:c>
      <x:c r="S4" s="7" t="str">
        <x:v>Pass: 1440x900, 390x844, 320x780; no overflow or broken images</x:v>
      </x:c>
      <x:c r="T4" s="7" t="str">
        <x:v>Pass: all pages, robots and sitemap; portfolio total 406/406 after current redeploy</x:v>
      </x:c>
      <x:c r="U4" s="7" t="str">
        <x:v>https://clone-rebuild.charlotte-crawl-space.pages.dev</x:v>
      </x:c>
      <x:c r="V4" s="7" t="str">
        <x:v>https://charlottecrawlspace.com (not promoted)</x:v>
      </x:c>
      <x:c r="W4" s="7" t="str">
        <x:v>noindex, nofollow; empty staging sitemap; no staging canonical</x:v>
      </x:c>
      <x:c r="X4" s="7" t="str">
        <x:v>Preview deployed and QA passed; production held</x:v>
      </x:c>
      <x:c r="Y4" s="7" t="str">
        <x:v>routing approval; claim review; phone forwarding test; canonical/domain approval; review source records and site-specific project photos; production performance trace</x:v>
      </x:c>
    </x:row>
    <x:row r="5" ht="76" customHeight="1">
      <x:c r="A5" s="7" t="str">
        <x:v>Charlotte Precision Walls</x:v>
      </x:c>
      <x:c r="B5" s="7" t="str">
        <x:v>charlotte-precision-walls</x:v>
      </x:c>
      <x:c r="C5" s="7" t="str">
        <x:v>charlotteprecisionwalls.com</x:v>
      </x:c>
      <x:c r="D5" s="7" t="str">
        <x:v>Retaining walls</x:v>
      </x:c>
      <x:c r="E5" s="7" t="str">
        <x:v>Charlotte, NC</x:v>
      </x:c>
      <x:c r="F5" s="7" t="str">
        <x:v>Charlotte Precision Walls.jpeg</x:v>
      </x:c>
      <x:c r="G5" s="7" t="str">
        <x:v>Pink's Concrete</x:v>
      </x:c>
      <x:c r="H5" s="7" t="str">
        <x:v>primary: #0F2E27 | secondary: #3B4A44 | accent: #CDA14A | neutral: #F3F1ED</x:v>
      </x:c>
      <x:c r="I5" s="7" t="str">
        <x:v>Cinzel Decorative / Inter Tight</x:v>
      </x:c>
      <x:c r="J5" s="7" t="str">
        <x:v>Approved brand-board primary mark, icon and favicon extracted locally; vector/reversed variants remain optional production refinements</x:v>
      </x:c>
      <x:c r="K5" s="7" t="str">
        <x:v>3 generated trade images from prior LLG workspace; provenance recorded</x:v>
      </x:c>
      <x:c r="L5" s="7" t="str">
        <x:v>Three site-specific customer review excerpts are present; source records remain a production gate</x:v>
      </x:c>
      <x:c r="M5" s="7" t="str">
        <x:v>12 crawlable pages; four service pages; primary city only; adjacent-city pages blocked</x:v>
      </x:c>
      <x:c r="N5" s="7" t="str">
        <x:v>Unique title, description and H1; breadcrumbs; Organization/WebSite/Service schema; no rating schema; staging canonical omitted</x:v>
      </x:c>
      <x:c r="O5" s="7" t="str">
        <x:v>Verified: Turnstile -&gt; Worker /v1/website-leads -&gt; Supabase provider ingest; live test lead recorded</x:v>
      </x:c>
      <x:c r="P5" s="7" t="str">
        <x:v>Verified CallRail tracker: 980-480-3201</x:v>
      </x:c>
      <x:c r="Q5" s="7" t="str">
        <x:v>Optional checkbox unchecked; automated texting disabled</x:v>
      </x:c>
      <x:c r="R5" s="7" t="str">
        <x:v>Verified; source: portfolio workbook; production recheck required</x:v>
      </x:c>
      <x:c r="S5" s="7" t="str">
        <x:v>Pass: 1440x900, 390x844, 320x780; no overflow or broken images</x:v>
      </x:c>
      <x:c r="T5" s="7" t="str">
        <x:v>Pass: all pages, robots and sitemap; portfolio total 406/406 after current redeploy</x:v>
      </x:c>
      <x:c r="U5" s="7" t="str">
        <x:v>https://clone-rebuild.charlotte-precision-walls.pages.dev</x:v>
      </x:c>
      <x:c r="V5" s="7" t="str">
        <x:v>https://charlotteprecisionwalls.com (not promoted)</x:v>
      </x:c>
      <x:c r="W5" s="7" t="str">
        <x:v>noindex, nofollow; empty staging sitemap; no staging canonical</x:v>
      </x:c>
      <x:c r="X5" s="7" t="str">
        <x:v>Preview deployed and QA passed; production held</x:v>
      </x:c>
      <x:c r="Y5" s="7" t="str">
        <x:v>routing approval; claim review; phone forwarding test; canonical/domain approval; review source records and site-specific project photos; production performance trace</x:v>
      </x:c>
    </x:row>
    <x:row r="6" ht="76" customHeight="1">
      <x:c r="A6" s="7" t="str">
        <x:v>Chicago Drainage Guys</x:v>
      </x:c>
      <x:c r="B6" s="7" t="str">
        <x:v>chicago-drainage-guys</x:v>
      </x:c>
      <x:c r="C6" s="7" t="str">
        <x:v>chicagodrainageguys.com</x:v>
      </x:c>
      <x:c r="D6" s="7" t="str">
        <x:v>Drainage</x:v>
      </x:c>
      <x:c r="E6" s="7" t="str">
        <x:v>Chicago, IL</x:v>
      </x:c>
      <x:c r="F6" s="7" t="str">
        <x:v>Chicago Drainage Guys.jpeg</x:v>
      </x:c>
      <x:c r="G6" s="7" t="str">
        <x:v>Minuteman</x:v>
      </x:c>
      <x:c r="H6" s="7" t="str">
        <x:v>primary: #0B1D33 | secondary: #1296F7 | accent: #5B6770 | neutral: #E9EBEE</x:v>
      </x:c>
      <x:c r="I6" s="7" t="str">
        <x:v>Urbanist / Nunito</x:v>
      </x:c>
      <x:c r="J6" s="7" t="str">
        <x:v>Approved brand-board primary mark, icon and favicon extracted locally; vector/reversed variants remain optional production refinements</x:v>
      </x:c>
      <x:c r="K6" s="7" t="str">
        <x:v>3 generated trade images from prior LLG workspace; provenance recorded</x:v>
      </x:c>
      <x:c r="L6" s="7" t="str">
        <x:v>Three site-specific customer review excerpts are present; source records remain a production gate</x:v>
      </x:c>
      <x:c r="M6" s="7" t="str">
        <x:v>12 crawlable pages; four service pages; primary city only; adjacent-city pages blocked</x:v>
      </x:c>
      <x:c r="N6" s="7" t="str">
        <x:v>Unique title, description and H1; breadcrumbs; Organization/WebSite/Service schema; no rating schema; staging canonical omitted</x:v>
      </x:c>
      <x:c r="O6" s="7" t="str">
        <x:v>Verified: Turnstile -&gt; Worker /v1/website-leads -&gt; Supabase provider ingest; live test lead recorded</x:v>
      </x:c>
      <x:c r="P6" s="7" t="str">
        <x:v>CallRail tracker routes, but 773-741-0057 is shared; attribution conflict must be resolved</x:v>
      </x:c>
      <x:c r="Q6" s="7" t="str">
        <x:v>Optional checkbox unchecked; automated texting disabled</x:v>
      </x:c>
      <x:c r="R6" s="7" t="str">
        <x:v>not-verified; source: portfolio workbook; production recheck required</x:v>
      </x:c>
      <x:c r="S6" s="7" t="str">
        <x:v>Pass: 1440x900, 390x844, 320x780; no overflow or broken images</x:v>
      </x:c>
      <x:c r="T6" s="7" t="str">
        <x:v>Pass: all pages, robots and sitemap; portfolio total 406/406 after current redeploy</x:v>
      </x:c>
      <x:c r="U6" s="7" t="str">
        <x:v>https://clone-rebuild.chicago-drainage-guys.pages.dev</x:v>
      </x:c>
      <x:c r="V6" s="7" t="str">
        <x:v>https://chicagodrainageguys.com (not promoted)</x:v>
      </x:c>
      <x:c r="W6" s="7" t="str">
        <x:v>noindex, nofollow; empty staging sitemap; no staging canonical</x:v>
      </x:c>
      <x:c r="X6" s="7" t="str">
        <x:v>Preview deployed and QA passed; production held</x:v>
      </x:c>
      <x:c r="Y6" s="7" t="str">
        <x:v>routing approval; claim review; phone forwarding test; canonical/domain approval; review source records and site-specific project photos; CallRail tracker routes, but 773-741-0057 is shared; attribution conflict must be resolved; production performance trace</x:v>
      </x:c>
    </x:row>
    <x:row r="7" ht="76" customHeight="1">
      <x:c r="A7" s="7" t="str">
        <x:v>Cincinnati Precision Walls</x:v>
      </x:c>
      <x:c r="B7" s="7" t="str">
        <x:v>cincinnati-precision-walls</x:v>
      </x:c>
      <x:c r="C7" s="7" t="str">
        <x:v>cincinnatiprecisionwalls.com</x:v>
      </x:c>
      <x:c r="D7" s="7" t="str">
        <x:v>Retaining walls</x:v>
      </x:c>
      <x:c r="E7" s="7" t="str">
        <x:v>Cincinnati, OH</x:v>
      </x:c>
      <x:c r="F7" s="7" t="str">
        <x:v>Cincinnati Precision Walls.jpeg</x:v>
      </x:c>
      <x:c r="G7" s="7" t="str">
        <x:v>Pink's Concrete</x:v>
      </x:c>
      <x:c r="H7" s="7" t="str">
        <x:v>primary: #1B2226 | secondary: #D26A2C | accent: #7E7366 | neutral: #F4F1EC</x:v>
      </x:c>
      <x:c r="I7" s="7" t="str">
        <x:v>Aileron / Work Sans</x:v>
      </x:c>
      <x:c r="J7" s="7" t="str">
        <x:v>Approved brand-board primary mark, icon and favicon extracted locally; vector/reversed variants remain optional production refinements</x:v>
      </x:c>
      <x:c r="K7" s="7" t="str">
        <x:v>3 generated trade images from prior LLG workspace; provenance recorded</x:v>
      </x:c>
      <x:c r="L7" s="7" t="str">
        <x:v>Three site-specific customer review excerpts are present; source records remain a production gate</x:v>
      </x:c>
      <x:c r="M7" s="7" t="str">
        <x:v>12 crawlable pages; four service pages; primary city only; adjacent-city pages blocked</x:v>
      </x:c>
      <x:c r="N7" s="7" t="str">
        <x:v>Unique title, description and H1; breadcrumbs; Organization/WebSite/Service schema; no rating schema; staging canonical omitted</x:v>
      </x:c>
      <x:c r="O7" s="7" t="str">
        <x:v>Verified: Turnstile -&gt; Worker /v1/website-leads -&gt; Supabase provider ingest; live test lead recorded</x:v>
      </x:c>
      <x:c r="P7" s="7" t="str">
        <x:v>Verified CallRail tracker: 513-640-2487</x:v>
      </x:c>
      <x:c r="Q7" s="7" t="str">
        <x:v>Optional checkbox unchecked; automated texting disabled</x:v>
      </x:c>
      <x:c r="R7" s="7" t="str">
        <x:v>not-verified; source: portfolio workbook; production recheck required</x:v>
      </x:c>
      <x:c r="S7" s="7" t="str">
        <x:v>Pass: 1440x900, 390x844, 320x780; no overflow or broken images</x:v>
      </x:c>
      <x:c r="T7" s="7" t="str">
        <x:v>Pass: all pages, robots and sitemap; portfolio total 406/406 after current redeploy</x:v>
      </x:c>
      <x:c r="U7" s="7" t="str">
        <x:v>https://clone-rebuild.cincinnati-precision-walls.pages.dev</x:v>
      </x:c>
      <x:c r="V7" s="7" t="str">
        <x:v>https://cincinnatiprecisionwalls.com (not promoted)</x:v>
      </x:c>
      <x:c r="W7" s="7" t="str">
        <x:v>noindex, nofollow; empty staging sitemap; no staging canonical</x:v>
      </x:c>
      <x:c r="X7" s="7" t="str">
        <x:v>Preview deployed and QA passed; production held</x:v>
      </x:c>
      <x:c r="Y7" s="7" t="str">
        <x:v>routing approval; claim review; phone forwarding test; canonical/domain approval; review source records and site-specific project photos; production performance trace</x:v>
      </x:c>
    </x:row>
    <x:row r="8" ht="76" customHeight="1">
      <x:c r="A8" s="7" t="str">
        <x:v>Connecticut Drain Pros</x:v>
      </x:c>
      <x:c r="B8" s="7" t="str">
        <x:v>connecticut-drain-pros</x:v>
      </x:c>
      <x:c r="C8" s="7" t="str">
        <x:v>connecticutdrainpros.com</x:v>
      </x:c>
      <x:c r="D8" s="7" t="str">
        <x:v>Drainage</x:v>
      </x:c>
      <x:c r="E8" s="7" t="str">
        <x:v>Connecticut, CT</x:v>
      </x:c>
      <x:c r="F8" s="7" t="str">
        <x:v>Connecticut Drain PRos.jpeg</x:v>
      </x:c>
      <x:c r="G8" s="7" t="str">
        <x:v>HorizonFix</x:v>
      </x:c>
      <x:c r="H8" s="7" t="str">
        <x:v>primary: #0A1D3D | secondary: #00B8F1 | accent: #455A64 | neutral: #E8ECEF</x:v>
      </x:c>
      <x:c r="I8" s="7" t="str">
        <x:v>Barlow Condensed / DM Sans</x:v>
      </x:c>
      <x:c r="J8" s="7" t="str">
        <x:v>Approved brand-board primary mark, icon and favicon extracted locally; vector/reversed variants remain optional production refinements</x:v>
      </x:c>
      <x:c r="K8" s="7" t="str">
        <x:v>69 local target photos plus generated trade imagery</x:v>
      </x:c>
      <x:c r="L8" s="7" t="str">
        <x:v>Original target review wording retained</x:v>
      </x:c>
      <x:c r="M8" s="7" t="str">
        <x:v>12 crawlable pages; four service pages; primary city only; adjacent-city pages blocked</x:v>
      </x:c>
      <x:c r="N8" s="7" t="str">
        <x:v>Unique title, description and H1; breadcrumbs; Organization/WebSite/Service schema; no rating schema; staging canonical omitted</x:v>
      </x:c>
      <x:c r="O8" s="7" t="str">
        <x:v>Verified: Turnstile -&gt; Worker /v1/website-leads -&gt; Supabase provider ingest; live test lead recorded</x:v>
      </x:c>
      <x:c r="P8" s="7" t="str">
        <x:v>Verified CallRail tracker: 860-744-5564</x:v>
      </x:c>
      <x:c r="Q8" s="7" t="str">
        <x:v>Optional checkbox unchecked; automated texting disabled</x:v>
      </x:c>
      <x:c r="R8" s="7" t="str">
        <x:v>not-verified; source: portfolio workbook; production recheck required</x:v>
      </x:c>
      <x:c r="S8" s="7" t="str">
        <x:v>Pass: 1440x900, 390x844, 320x780; no overflow or broken images</x:v>
      </x:c>
      <x:c r="T8" s="7" t="str">
        <x:v>Pass: all pages, robots and sitemap; portfolio total 406/406 after current redeploy</x:v>
      </x:c>
      <x:c r="U8" s="7" t="str">
        <x:v>https://clone-rebuild.connecticut-drain-pros.pages.dev</x:v>
      </x:c>
      <x:c r="V8" s="7" t="str">
        <x:v>https://connecticutdrainpros.com (not promoted)</x:v>
      </x:c>
      <x:c r="W8" s="7" t="str">
        <x:v>noindex, nofollow; empty staging sitemap; no staging canonical</x:v>
      </x:c>
      <x:c r="X8" s="7" t="str">
        <x:v>Preview deployed and QA passed; production held</x:v>
      </x:c>
      <x:c r="Y8" s="7" t="str">
        <x:v>routing approval; claim review; phone forwarding test; canonical/domain approval; production performance trace</x:v>
      </x:c>
    </x:row>
    <x:row r="9" ht="76" customHeight="1">
      <x:c r="A9" s="7" t="str">
        <x:v>Crawlspace Cary NC</x:v>
      </x:c>
      <x:c r="B9" s="7" t="str">
        <x:v>crawlspace-cary-nc</x:v>
      </x:c>
      <x:c r="C9" s="7" t="str">
        <x:v>crawlspacecarync.com</x:v>
      </x:c>
      <x:c r="D9" s="7" t="str">
        <x:v>Crawlspace</x:v>
      </x:c>
      <x:c r="E9" s="7" t="str">
        <x:v>Cary, NC</x:v>
      </x:c>
      <x:c r="F9" s="7" t="str">
        <x:v>Crawlspace Cary NC.jpeg</x:v>
      </x:c>
      <x:c r="G9" s="7" t="str">
        <x:v>Trips Windows — Small Export</x:v>
      </x:c>
      <x:c r="H9" s="7" t="str">
        <x:v>primary: #0E3B43 | secondary: #2F6F73 | accent: #F07A2E | neutral: #F2F1EE</x:v>
      </x:c>
      <x:c r="I9" s="7" t="str">
        <x:v>Bebas Neue Pro / Outfit</x:v>
      </x:c>
      <x:c r="J9" s="7" t="str">
        <x:v>Approved brand-board primary mark, icon and favicon extracted locally; vector/reversed variants remain optional production refinements</x:v>
      </x:c>
      <x:c r="K9" s="7" t="str">
        <x:v>3 generated trade images from prior LLG workspace; provenance recorded</x:v>
      </x:c>
      <x:c r="L9" s="7" t="str">
        <x:v>Three site-specific customer review excerpts are present; source records remain a production gate</x:v>
      </x:c>
      <x:c r="M9" s="7" t="str">
        <x:v>12 crawlable pages; four service pages; primary city only; adjacent-city pages blocked</x:v>
      </x:c>
      <x:c r="N9" s="7" t="str">
        <x:v>Unique title, description and H1; breadcrumbs; Organization/WebSite/Service schema; no rating schema; staging canonical omitted</x:v>
      </x:c>
      <x:c r="O9" s="7" t="str">
        <x:v>Verified: Turnstile -&gt; Worker /v1/website-leads -&gt; Supabase provider ingest; live test lead recorded</x:v>
      </x:c>
      <x:c r="P9" s="7" t="str">
        <x:v>Verified CallRail tracker: 919-858-6704</x:v>
      </x:c>
      <x:c r="Q9" s="7" t="str">
        <x:v>Optional checkbox unchecked; automated texting disabled</x:v>
      </x:c>
      <x:c r="R9" s="7" t="str">
        <x:v>Verified; source: portfolio workbook; production recheck required</x:v>
      </x:c>
      <x:c r="S9" s="7" t="str">
        <x:v>Pass: 1440x900, 390x844, 320x780; no overflow or broken images</x:v>
      </x:c>
      <x:c r="T9" s="7" t="str">
        <x:v>Pass: all pages, robots and sitemap; portfolio total 406/406 after current redeploy</x:v>
      </x:c>
      <x:c r="U9" s="7" t="str">
        <x:v>https://clone-rebuild.crawlspace-cary-nc.pages.dev</x:v>
      </x:c>
      <x:c r="V9" s="7" t="str">
        <x:v>https://crawlspacecarync.com (not promoted)</x:v>
      </x:c>
      <x:c r="W9" s="7" t="str">
        <x:v>noindex, nofollow; empty staging sitemap; no staging canonical</x:v>
      </x:c>
      <x:c r="X9" s="7" t="str">
        <x:v>Preview deployed and QA passed; production held</x:v>
      </x:c>
      <x:c r="Y9" s="7" t="str">
        <x:v>routing approval; claim review; phone forwarding test; canonical/domain approval; review source records and site-specific project photos; production performance trace</x:v>
      </x:c>
    </x:row>
    <x:row r="10" ht="76" customHeight="1">
      <x:c r="A10" s="7" t="str">
        <x:v>Crawlspace Durham</x:v>
      </x:c>
      <x:c r="B10" s="7" t="str">
        <x:v>crawlspace-durham</x:v>
      </x:c>
      <x:c r="C10" s="7" t="str">
        <x:v>crawlspacedurham.com</x:v>
      </x:c>
      <x:c r="D10" s="7" t="str">
        <x:v>Crawlspace</x:v>
      </x:c>
      <x:c r="E10" s="7" t="str">
        <x:v>Durham, NC</x:v>
      </x:c>
      <x:c r="F10" s="7" t="str">
        <x:v>Crawlspace Durham.jpeg</x:v>
      </x:c>
      <x:c r="G10" s="7" t="str">
        <x:v>NextGen Windows</x:v>
      </x:c>
      <x:c r="H10" s="7" t="str">
        <x:v>primary: #0B2D3A | secondary: #5F6F44 | accent: #C48A53 | neutral: #E9E6DB</x:v>
      </x:c>
      <x:c r="I10" s="7" t="str">
        <x:v>Barlow Condensed / Source Sans 3</x:v>
      </x:c>
      <x:c r="J10" s="7" t="str">
        <x:v>Approved brand-board primary mark, icon and favicon extracted locally; vector/reversed variants remain optional production refinements</x:v>
      </x:c>
      <x:c r="K10" s="7" t="str">
        <x:v>3 generated trade images from prior LLG workspace; provenance recorded</x:v>
      </x:c>
      <x:c r="L10" s="7" t="str">
        <x:v>Three site-specific customer review excerpts are present; source records remain a production gate</x:v>
      </x:c>
      <x:c r="M10" s="7" t="str">
        <x:v>12 crawlable pages; four service pages; primary city only; adjacent-city pages blocked</x:v>
      </x:c>
      <x:c r="N10" s="7" t="str">
        <x:v>Unique title, description and H1; breadcrumbs; Organization/WebSite/Service schema; no rating schema; staging canonical omitted</x:v>
      </x:c>
      <x:c r="O10" s="7" t="str">
        <x:v>Verified: Turnstile -&gt; Worker /v1/website-leads -&gt; Supabase provider ingest; live test lead recorded</x:v>
      </x:c>
      <x:c r="P10" s="7" t="str">
        <x:v>Verified CallRail tracker: 984-400-5668</x:v>
      </x:c>
      <x:c r="Q10" s="7" t="str">
        <x:v>Optional checkbox unchecked; automated texting disabled</x:v>
      </x:c>
      <x:c r="R10" s="7" t="str">
        <x:v>Verified; source: portfolio workbook; production recheck required</x:v>
      </x:c>
      <x:c r="S10" s="7" t="str">
        <x:v>Pass: 1440x900, 390x844, 320x780; no overflow or broken images</x:v>
      </x:c>
      <x:c r="T10" s="7" t="str">
        <x:v>Pass: all pages, robots and sitemap; portfolio total 406/406 after current redeploy</x:v>
      </x:c>
      <x:c r="U10" s="7" t="str">
        <x:v>https://clone-rebuild.crawlspace-durham.pages.dev</x:v>
      </x:c>
      <x:c r="V10" s="7" t="str">
        <x:v>https://crawlspacedurham.com (not promoted)</x:v>
      </x:c>
      <x:c r="W10" s="7" t="str">
        <x:v>noindex, nofollow; empty staging sitemap; no staging canonical</x:v>
      </x:c>
      <x:c r="X10" s="7" t="str">
        <x:v>Preview deployed and QA passed; production held</x:v>
      </x:c>
      <x:c r="Y10" s="7" t="str">
        <x:v>routing approval; claim review; phone forwarding test; canonical/domain approval; review source records and site-specific project photos; production performance trace</x:v>
      </x:c>
    </x:row>
    <x:row r="11" ht="76" customHeight="1">
      <x:c r="A11" s="7" t="str">
        <x:v>Crawlspace Greensboro</x:v>
      </x:c>
      <x:c r="B11" s="7" t="str">
        <x:v>crawlspace-greensboro</x:v>
      </x:c>
      <x:c r="C11" s="7" t="str">
        <x:v>crawlspacegreensboro.com</x:v>
      </x:c>
      <x:c r="D11" s="7" t="str">
        <x:v>Crawlspace</x:v>
      </x:c>
      <x:c r="E11" s="7" t="str">
        <x:v>Greensboro, NC</x:v>
      </x:c>
      <x:c r="F11" s="7" t="str">
        <x:v>Crawlspace Greensboro.jpeg</x:v>
      </x:c>
      <x:c r="G11" s="7" t="str">
        <x:v>Welborn Garage</x:v>
      </x:c>
      <x:c r="H11" s="7" t="str">
        <x:v>primary: #113B2F | secondary: #6D8266 | accent: #D4A32C | neutral: #E7E5E0</x:v>
      </x:c>
      <x:c r="I11" s="7" t="str">
        <x:v>Oswald SemiCondensed / Lora</x:v>
      </x:c>
      <x:c r="J11" s="7" t="str">
        <x:v>Approved brand-board primary mark, icon and favicon extracted locally; vector/reversed variants remain optional production refinements</x:v>
      </x:c>
      <x:c r="K11" s="7" t="str">
        <x:v>3 generated trade images from prior LLG workspace; provenance recorded</x:v>
      </x:c>
      <x:c r="L11" s="7" t="str">
        <x:v>Three site-specific customer review excerpts are present; source records remain a production gate</x:v>
      </x:c>
      <x:c r="M11" s="7" t="str">
        <x:v>12 crawlable pages; four service pages; primary city only; adjacent-city pages blocked</x:v>
      </x:c>
      <x:c r="N11" s="7" t="str">
        <x:v>Unique title, description and H1; breadcrumbs; Organization/WebSite/Service schema; no rating schema; staging canonical omitted</x:v>
      </x:c>
      <x:c r="O11" s="7" t="str">
        <x:v>Verified: Turnstile -&gt; Worker /v1/website-leads -&gt; Supabase provider ingest; live test lead recorded</x:v>
      </x:c>
      <x:c r="P11" s="7" t="str">
        <x:v>Verified CallRail tracker: 336-933-9193</x:v>
      </x:c>
      <x:c r="Q11" s="7" t="str">
        <x:v>Optional checkbox unchecked; automated texting disabled</x:v>
      </x:c>
      <x:c r="R11" s="7" t="str">
        <x:v>Verified; source: portfolio workbook; production recheck required</x:v>
      </x:c>
      <x:c r="S11" s="7" t="str">
        <x:v>Pass: 1440x900, 390x844, 320x780; no overflow or broken images</x:v>
      </x:c>
      <x:c r="T11" s="7" t="str">
        <x:v>Pass: all pages, robots and sitemap; portfolio total 406/406 after current redeploy</x:v>
      </x:c>
      <x:c r="U11" s="7" t="str">
        <x:v>https://clone-rebuild.crawlspace-greensboro.pages.dev</x:v>
      </x:c>
      <x:c r="V11" s="7" t="str">
        <x:v>https://crawlspacegreensboro.com (not promoted)</x:v>
      </x:c>
      <x:c r="W11" s="7" t="str">
        <x:v>noindex, nofollow; empty staging sitemap; no staging canonical</x:v>
      </x:c>
      <x:c r="X11" s="7" t="str">
        <x:v>Preview deployed and QA passed; production held</x:v>
      </x:c>
      <x:c r="Y11" s="7" t="str">
        <x:v>routing approval; claim review; phone forwarding test; canonical/domain approval; review source records and site-specific project photos; production performance trace</x:v>
      </x:c>
    </x:row>
    <x:row r="12" ht="76" customHeight="1">
      <x:c r="A12" s="7" t="str">
        <x:v>Crawlspace Raleigh</x:v>
      </x:c>
      <x:c r="B12" s="7" t="str">
        <x:v>crawlspace-raleigh</x:v>
      </x:c>
      <x:c r="C12" s="7" t="str">
        <x:v>crawlspaceraleigh.com</x:v>
      </x:c>
      <x:c r="D12" s="7" t="str">
        <x:v>Crawlspace</x:v>
      </x:c>
      <x:c r="E12" s="7" t="str">
        <x:v>Raleigh, NC</x:v>
      </x:c>
      <x:c r="F12" s="7" t="str">
        <x:v>Crawlspace Raleigh.jpeg</x:v>
      </x:c>
      <x:c r="G12" s="7" t="str">
        <x:v>Trips Windows — Full Export</x:v>
      </x:c>
      <x:c r="H12" s="7" t="str">
        <x:v>primary: #1E2E28 | secondary: #6F8A5B | accent: #D9D2C2 | neutral: #2A2A2A</x:v>
      </x:c>
      <x:c r="I12" s="7" t="str">
        <x:v>Saira Condensed / Work Sans</x:v>
      </x:c>
      <x:c r="J12" s="7" t="str">
        <x:v>Approved brand-board primary mark, icon and favicon extracted locally; vector/reversed variants remain optional production refinements</x:v>
      </x:c>
      <x:c r="K12" s="7" t="str">
        <x:v>3 generated trade images from prior LLG workspace; provenance recorded</x:v>
      </x:c>
      <x:c r="L12" s="7" t="str">
        <x:v>Three site-specific customer review excerpts are present; source records remain a production gate</x:v>
      </x:c>
      <x:c r="M12" s="7" t="str">
        <x:v>12 crawlable pages; four service pages; primary city only; adjacent-city pages blocked</x:v>
      </x:c>
      <x:c r="N12" s="7" t="str">
        <x:v>Unique title, description and H1; breadcrumbs; Organization/WebSite/Service schema; no rating schema; staging canonical omitted</x:v>
      </x:c>
      <x:c r="O12" s="7" t="str">
        <x:v>Verified: Turnstile -&gt; Worker /v1/website-leads -&gt; Supabase provider ingest; live test lead recorded</x:v>
      </x:c>
      <x:c r="P12" s="7" t="str">
        <x:v>Verified CallRail tracker: 919-646-9887</x:v>
      </x:c>
      <x:c r="Q12" s="7" t="str">
        <x:v>Optional checkbox unchecked; automated texting disabled</x:v>
      </x:c>
      <x:c r="R12" s="7" t="str">
        <x:v>not-verified; source: portfolio workbook; production recheck required</x:v>
      </x:c>
      <x:c r="S12" s="7" t="str">
        <x:v>Pass: 1440x900, 390x844, 320x780; no overflow or broken images</x:v>
      </x:c>
      <x:c r="T12" s="7" t="str">
        <x:v>Pass: all pages, robots and sitemap; portfolio total 406/406 after current redeploy</x:v>
      </x:c>
      <x:c r="U12" s="7" t="str">
        <x:v>https://clone-rebuild.crawlspace-raleigh.pages.dev</x:v>
      </x:c>
      <x:c r="V12" s="7" t="str">
        <x:v>https://crawlspaceraleigh.com (not promoted)</x:v>
      </x:c>
      <x:c r="W12" s="7" t="str">
        <x:v>noindex, nofollow; empty staging sitemap; no staging canonical</x:v>
      </x:c>
      <x:c r="X12" s="7" t="str">
        <x:v>Preview deployed and QA passed; production held</x:v>
      </x:c>
      <x:c r="Y12" s="7" t="str">
        <x:v>routing approval; claim review; phone forwarding test; canonical/domain approval; review source records and site-specific project photos; production performance trace</x:v>
      </x:c>
    </x:row>
    <x:row r="13" ht="76" customHeight="1">
      <x:c r="A13" s="7" t="str">
        <x:v>Crawlspace Wilmington</x:v>
      </x:c>
      <x:c r="B13" s="7" t="str">
        <x:v>crawlspace-wilmington</x:v>
      </x:c>
      <x:c r="C13" s="7" t="str">
        <x:v>crawlspacewilmington.com</x:v>
      </x:c>
      <x:c r="D13" s="7" t="str">
        <x:v>Crawlspace</x:v>
      </x:c>
      <x:c r="E13" s="7" t="str">
        <x:v>Wilmington, NC</x:v>
      </x:c>
      <x:c r="F13" s="7" t="str">
        <x:v>Crawlspace Wilmington.jpeg</x:v>
      </x:c>
      <x:c r="G13" s="7" t="str">
        <x:v>NextGen Windows</x:v>
      </x:c>
      <x:c r="H13" s="7" t="str">
        <x:v>primary: #0F2D4D | secondary: #5BAAA8 | accent: #C8B79C | neutral: #F2F4F5</x:v>
      </x:c>
      <x:c r="I13" s="7" t="str">
        <x:v>League Spartan / Work Sans</x:v>
      </x:c>
      <x:c r="J13" s="7" t="str">
        <x:v>Approved brand-board primary mark, icon and favicon extracted locally; vector/reversed variants remain optional production refinements</x:v>
      </x:c>
      <x:c r="K13" s="7" t="str">
        <x:v>3 generated trade images from prior LLG workspace; provenance recorded</x:v>
      </x:c>
      <x:c r="L13" s="7" t="str">
        <x:v>Three site-specific customer review excerpts are present; source records remain a production gate</x:v>
      </x:c>
      <x:c r="M13" s="7" t="str">
        <x:v>12 crawlable pages; four service pages; primary city only; adjacent-city pages blocked</x:v>
      </x:c>
      <x:c r="N13" s="7" t="str">
        <x:v>Unique title, description and H1; breadcrumbs; Organization/WebSite/Service schema; no rating schema; staging canonical omitted</x:v>
      </x:c>
      <x:c r="O13" s="7" t="str">
        <x:v>Verified: Turnstile -&gt; Worker /v1/website-leads -&gt; Supabase provider ingest; live test lead recorded</x:v>
      </x:c>
      <x:c r="P13" s="7" t="str">
        <x:v>Form-only preview; 910-444-0021 is not in the CallRail inventory and needs a tracker</x:v>
      </x:c>
      <x:c r="Q13" s="7" t="str">
        <x:v>Optional checkbox unchecked; automated texting disabled</x:v>
      </x:c>
      <x:c r="R13" s="7" t="str">
        <x:v>not-verified; source: portfolio workbook; production recheck required</x:v>
      </x:c>
      <x:c r="S13" s="7" t="str">
        <x:v>Pass: 1440x900, 390x844, 320x780; no overflow or broken images</x:v>
      </x:c>
      <x:c r="T13" s="7" t="str">
        <x:v>Pass: all pages, robots and sitemap; portfolio total 406/406 after current redeploy</x:v>
      </x:c>
      <x:c r="U13" s="7" t="str">
        <x:v>https://clone-rebuild.crawlspace-wilmington.pages.dev</x:v>
      </x:c>
      <x:c r="V13" s="7" t="str">
        <x:v>https://crawlspacewilmington.com (not promoted)</x:v>
      </x:c>
      <x:c r="W13" s="7" t="str">
        <x:v>noindex, nofollow; empty staging sitemap; no staging canonical</x:v>
      </x:c>
      <x:c r="X13" s="7" t="str">
        <x:v>Preview deployed and QA passed; production held</x:v>
      </x:c>
      <x:c r="Y13" s="7" t="str">
        <x:v>routing approval; claim review; phone forwarding test; canonical/domain approval; review source records and site-specific project photos; Form-only preview; 910-444-0021 is not in the CallRail inventory and needs a tracker; production performance trace</x:v>
      </x:c>
    </x:row>
    <x:row r="14" ht="76" customHeight="1">
      <x:c r="A14" s="7" t="str">
        <x:v>Dallas Drain Guys</x:v>
      </x:c>
      <x:c r="B14" s="7" t="str">
        <x:v>dallas-drain-guys</x:v>
      </x:c>
      <x:c r="C14" s="7" t="str">
        <x:v>dallasdrainguys.com</x:v>
      </x:c>
      <x:c r="D14" s="7" t="str">
        <x:v>Drainage</x:v>
      </x:c>
      <x:c r="E14" s="7" t="str">
        <x:v>Dallas, TX</x:v>
      </x:c>
      <x:c r="F14" s="7" t="str">
        <x:v>Dallas Drain Guys.jpeg</x:v>
      </x:c>
      <x:c r="G14" s="7" t="str">
        <x:v>Minuteman</x:v>
      </x:c>
      <x:c r="H14" s="7" t="str">
        <x:v>primary: #2F3A2E | secondary: #6B7368 | accent: #C15A34 | neutral: #E7E4DD</x:v>
      </x:c>
      <x:c r="I14" s="7" t="str">
        <x:v>Bungee / DM Sans</x:v>
      </x:c>
      <x:c r="J14" s="7" t="str">
        <x:v>Approved brand-board primary mark, icon and favicon extracted locally; vector/reversed variants remain optional production refinements</x:v>
      </x:c>
      <x:c r="K14" s="7" t="str">
        <x:v>32 local target photos plus generated trade imagery</x:v>
      </x:c>
      <x:c r="L14" s="7" t="str">
        <x:v>Original target review wording retained</x:v>
      </x:c>
      <x:c r="M14" s="7" t="str">
        <x:v>12 crawlable pages; four service pages; primary city only; adjacent-city pages blocked</x:v>
      </x:c>
      <x:c r="N14" s="7" t="str">
        <x:v>Unique title, description and H1; breadcrumbs; Organization/WebSite/Service schema; no rating schema; staging canonical omitted</x:v>
      </x:c>
      <x:c r="O14" s="7" t="str">
        <x:v>Verified: Turnstile -&gt; Worker /v1/website-leads -&gt; Supabase provider ingest; live test lead recorded</x:v>
      </x:c>
      <x:c r="P14" s="7" t="str">
        <x:v>Verified CallRail tracker: 214-833-6141</x:v>
      </x:c>
      <x:c r="Q14" s="7" t="str">
        <x:v>Optional checkbox unchecked; automated texting disabled</x:v>
      </x:c>
      <x:c r="R14" s="7" t="str">
        <x:v>not-verified; source: portfolio workbook; production recheck required</x:v>
      </x:c>
      <x:c r="S14" s="7" t="str">
        <x:v>Pass: 1440x900, 390x844, 320x780; no overflow or broken images</x:v>
      </x:c>
      <x:c r="T14" s="7" t="str">
        <x:v>Pass: all pages, robots and sitemap; portfolio total 406/406 after current redeploy</x:v>
      </x:c>
      <x:c r="U14" s="7" t="str">
        <x:v>https://clone-rebuild.dallas-drain-guys.pages.dev</x:v>
      </x:c>
      <x:c r="V14" s="7" t="str">
        <x:v>https://dallasdrainguys.com (not promoted)</x:v>
      </x:c>
      <x:c r="W14" s="7" t="str">
        <x:v>noindex, nofollow; empty staging sitemap; no staging canonical</x:v>
      </x:c>
      <x:c r="X14" s="7" t="str">
        <x:v>Preview deployed and QA passed; production held</x:v>
      </x:c>
      <x:c r="Y14" s="7" t="str">
        <x:v>routing approval; claim review; phone forwarding test; canonical/domain approval; production performance trace</x:v>
      </x:c>
    </x:row>
    <x:row r="15" ht="76" customHeight="1">
      <x:c r="A15" s="7" t="str">
        <x:v>Greensboro Drain Guys</x:v>
      </x:c>
      <x:c r="B15" s="7" t="str">
        <x:v>greensboro-drain-guys</x:v>
      </x:c>
      <x:c r="C15" s="7" t="str">
        <x:v>greensborodrainguys.com</x:v>
      </x:c>
      <x:c r="D15" s="7" t="str">
        <x:v>Drainage</x:v>
      </x:c>
      <x:c r="E15" s="7" t="str">
        <x:v>Greensboro, NC</x:v>
      </x:c>
      <x:c r="F15" s="7" t="str">
        <x:v>Greensboro Drain Guys.jpeg</x:v>
      </x:c>
      <x:c r="G15" s="7" t="str">
        <x:v>Roof Right Now</x:v>
      </x:c>
      <x:c r="H15" s="7" t="str">
        <x:v>primary: #1D3B2F | secondary: #68A05F | accent: #68A7B3 | neutral: #F1F3EF</x:v>
      </x:c>
      <x:c r="I15" s="7" t="str">
        <x:v>Sora / DM Sans</x:v>
      </x:c>
      <x:c r="J15" s="7" t="str">
        <x:v>Approved brand-board primary mark, icon and favicon extracted locally; vector/reversed variants remain optional production refinements</x:v>
      </x:c>
      <x:c r="K15" s="7" t="str">
        <x:v>3 generated trade images from prior LLG workspace; provenance recorded</x:v>
      </x:c>
      <x:c r="L15" s="7" t="str">
        <x:v>Three site-specific customer review excerpts are present; source records remain a production gate</x:v>
      </x:c>
      <x:c r="M15" s="7" t="str">
        <x:v>12 crawlable pages; four service pages; primary city only; adjacent-city pages blocked</x:v>
      </x:c>
      <x:c r="N15" s="7" t="str">
        <x:v>Unique title, description and H1; breadcrumbs; Organization/WebSite/Service schema; no rating schema; staging canonical omitted</x:v>
      </x:c>
      <x:c r="O15" s="7" t="str">
        <x:v>Verified: Turnstile -&gt; Worker /v1/website-leads -&gt; Supabase provider ingest; live test lead recorded</x:v>
      </x:c>
      <x:c r="P15" s="7" t="str">
        <x:v>Verified CallRail tracker: 336-444-6048</x:v>
      </x:c>
      <x:c r="Q15" s="7" t="str">
        <x:v>Optional checkbox unchecked; automated texting disabled</x:v>
      </x:c>
      <x:c r="R15" s="7" t="str">
        <x:v>not-verified; source: portfolio workbook; production recheck required</x:v>
      </x:c>
      <x:c r="S15" s="7" t="str">
        <x:v>Pass: 1440x900, 390x844, 320x780; no overflow or broken images</x:v>
      </x:c>
      <x:c r="T15" s="7" t="str">
        <x:v>Pass: all pages, robots and sitemap; portfolio total 406/406 after current redeploy</x:v>
      </x:c>
      <x:c r="U15" s="7" t="str">
        <x:v>https://clone-rebuild.greensboro-drain-guys.pages.dev</x:v>
      </x:c>
      <x:c r="V15" s="7" t="str">
        <x:v>https://greensborodrainguys.com (not promoted)</x:v>
      </x:c>
      <x:c r="W15" s="7" t="str">
        <x:v>noindex, nofollow; empty staging sitemap; no staging canonical</x:v>
      </x:c>
      <x:c r="X15" s="7" t="str">
        <x:v>Preview deployed and QA passed; production held</x:v>
      </x:c>
      <x:c r="Y15" s="7" t="str">
        <x:v>routing approval; claim review; phone forwarding test; canonical/domain approval; review source records and site-specific project photos; production performance trace</x:v>
      </x:c>
    </x:row>
    <x:row r="16" ht="76" customHeight="1">
      <x:c r="A16" s="7" t="str">
        <x:v>Jackson French Drain</x:v>
      </x:c>
      <x:c r="B16" s="7" t="str">
        <x:v>jackson-french-drain</x:v>
      </x:c>
      <x:c r="C16" s="7" t="str">
        <x:v>jacksonfrenchdrain.com</x:v>
      </x:c>
      <x:c r="D16" s="7" t="str">
        <x:v>Drainage</x:v>
      </x:c>
      <x:c r="E16" s="7" t="str">
        <x:v>Jackson, MS</x:v>
      </x:c>
      <x:c r="F16" s="7" t="str">
        <x:v>Jackson French Drain.jpeg</x:v>
      </x:c>
      <x:c r="G16" s="7" t="str">
        <x:v>HorizonFix</x:v>
      </x:c>
      <x:c r="H16" s="7" t="str">
        <x:v>primary: #0E2238 | secondary: #1E73BE | accent: #6B747D | neutral: #E6E9ED</x:v>
      </x:c>
      <x:c r="I16" s="7" t="str">
        <x:v>Practica / Inter</x:v>
      </x:c>
      <x:c r="J16" s="7" t="str">
        <x:v>Approved brand-board primary mark, icon and favicon extracted locally; vector/reversed variants remain optional production refinements</x:v>
      </x:c>
      <x:c r="K16" s="7" t="str">
        <x:v>3 generated trade images from prior LLG workspace; provenance recorded</x:v>
      </x:c>
      <x:c r="L16" s="7" t="str">
        <x:v>Three site-specific customer review excerpts are present; source records remain a production gate</x:v>
      </x:c>
      <x:c r="M16" s="7" t="str">
        <x:v>12 crawlable pages; four service pages; primary city only; adjacent-city pages blocked</x:v>
      </x:c>
      <x:c r="N16" s="7" t="str">
        <x:v>Unique title, description and H1; breadcrumbs; Organization/WebSite/Service schema; no rating schema; staging canonical omitted</x:v>
      </x:c>
      <x:c r="O16" s="7" t="str">
        <x:v>Verified: Turnstile -&gt; Worker /v1/website-leads -&gt; Supabase provider ingest; live test lead recorded</x:v>
      </x:c>
      <x:c r="P16" s="7" t="str">
        <x:v>Verified CallRail tracker: 601-688-7997</x:v>
      </x:c>
      <x:c r="Q16" s="7" t="str">
        <x:v>Optional checkbox unchecked; automated texting disabled</x:v>
      </x:c>
      <x:c r="R16" s="7" t="str">
        <x:v>Verified; source: portfolio workbook; production recheck required</x:v>
      </x:c>
      <x:c r="S16" s="7" t="str">
        <x:v>Pass: 1440x900, 390x844, 320x780; no overflow or broken images</x:v>
      </x:c>
      <x:c r="T16" s="7" t="str">
        <x:v>Pass: all pages, robots and sitemap; portfolio total 406/406 after current redeploy</x:v>
      </x:c>
      <x:c r="U16" s="7" t="str">
        <x:v>https://clone-rebuild.jackson-french-drain.pages.dev</x:v>
      </x:c>
      <x:c r="V16" s="7" t="str">
        <x:v>https://jacksonfrenchdrain.com (not promoted)</x:v>
      </x:c>
      <x:c r="W16" s="7" t="str">
        <x:v>noindex, nofollow; empty staging sitemap; no staging canonical</x:v>
      </x:c>
      <x:c r="X16" s="7" t="str">
        <x:v>Preview deployed and QA passed; production held</x:v>
      </x:c>
      <x:c r="Y16" s="7" t="str">
        <x:v>routing approval; claim review; phone forwarding test; canonical/domain approval; review source records and site-specific project photos; production performance trace</x:v>
      </x:c>
    </x:row>
    <x:row r="17" ht="76" customHeight="1">
      <x:c r="A17" s="7" t="str">
        <x:v>Little Rock French Drain</x:v>
      </x:c>
      <x:c r="B17" s="7" t="str">
        <x:v>little-rock-french-drain</x:v>
      </x:c>
      <x:c r="C17" s="7" t="str">
        <x:v>littlerockfrenchdrain.com</x:v>
      </x:c>
      <x:c r="D17" s="7" t="str">
        <x:v>Drainage</x:v>
      </x:c>
      <x:c r="E17" s="7" t="str">
        <x:v>Little Rock, AR</x:v>
      </x:c>
      <x:c r="F17" s="7" t="str">
        <x:v>Little Rock French Drain.jpeg</x:v>
      </x:c>
      <x:c r="G17" s="7" t="str">
        <x:v>Roof Right Now</x:v>
      </x:c>
      <x:c r="H17" s="7" t="str">
        <x:v>primary: #1F2A37 | secondary: #5B6B49 | accent: #7CA0B3 | neutral: #E7E4DE</x:v>
      </x:c>
      <x:c r="I17" s="7" t="str">
        <x:v>Cormorant Garamond / Source Sans 3</x:v>
      </x:c>
      <x:c r="J17" s="7" t="str">
        <x:v>Approved brand-board primary mark, icon and favicon extracted locally; vector/reversed variants remain optional production refinements</x:v>
      </x:c>
      <x:c r="K17" s="7" t="str">
        <x:v>3 generated trade images from prior LLG workspace; provenance recorded</x:v>
      </x:c>
      <x:c r="L17" s="7" t="str">
        <x:v>Three site-specific customer review excerpts are present; source records remain a production gate</x:v>
      </x:c>
      <x:c r="M17" s="7" t="str">
        <x:v>12 crawlable pages; four service pages; primary city only; adjacent-city pages blocked</x:v>
      </x:c>
      <x:c r="N17" s="7" t="str">
        <x:v>Unique title, description and H1; breadcrumbs; Organization/WebSite/Service schema; no rating schema; staging canonical omitted</x:v>
      </x:c>
      <x:c r="O17" s="7" t="str">
        <x:v>Verified: Turnstile -&gt; Worker /v1/website-leads -&gt; Supabase provider ingest; live test lead recorded</x:v>
      </x:c>
      <x:c r="P17" s="7" t="str">
        <x:v>Verified CallRail tracker: 501-459-7779</x:v>
      </x:c>
      <x:c r="Q17" s="7" t="str">
        <x:v>Optional checkbox unchecked; automated texting disabled</x:v>
      </x:c>
      <x:c r="R17" s="7" t="str">
        <x:v>not-verified; source: portfolio workbook; production recheck required</x:v>
      </x:c>
      <x:c r="S17" s="7" t="str">
        <x:v>Pass: 1440x900, 390x844, 320x780; no overflow or broken images</x:v>
      </x:c>
      <x:c r="T17" s="7" t="str">
        <x:v>Pass: all pages, robots and sitemap; portfolio total 406/406 after current redeploy</x:v>
      </x:c>
      <x:c r="U17" s="7" t="str">
        <x:v>https://clone-rebuild.little-rock-french-drain.pages.dev</x:v>
      </x:c>
      <x:c r="V17" s="7" t="str">
        <x:v>https://littlerockfrenchdrain.com (not promoted)</x:v>
      </x:c>
      <x:c r="W17" s="7" t="str">
        <x:v>noindex, nofollow; empty staging sitemap; no staging canonical</x:v>
      </x:c>
      <x:c r="X17" s="7" t="str">
        <x:v>Preview deployed and QA passed; production held</x:v>
      </x:c>
      <x:c r="Y17" s="7" t="str">
        <x:v>routing approval; claim review; phone forwarding test; canonical/domain approval; review source records and site-specific project photos; production performance trace</x:v>
      </x:c>
    </x:row>
    <x:row r="18" ht="76" customHeight="1">
      <x:c r="A18" s="7" t="str">
        <x:v>Little Rock Precision Walls</x:v>
      </x:c>
      <x:c r="B18" s="7" t="str">
        <x:v>little-rock-precision-walls</x:v>
      </x:c>
      <x:c r="C18" s="7" t="str">
        <x:v>littlerockprecisionwalls.com</x:v>
      </x:c>
      <x:c r="D18" s="7" t="str">
        <x:v>Retaining walls</x:v>
      </x:c>
      <x:c r="E18" s="7" t="str">
        <x:v>Little Rock, AR</x:v>
      </x:c>
      <x:c r="F18" s="7" t="str">
        <x:v>Little Rock Precision Walls.jpeg</x:v>
      </x:c>
      <x:c r="G18" s="7" t="str">
        <x:v>Pink's Concrete</x:v>
      </x:c>
      <x:c r="H18" s="7" t="str">
        <x:v>primary: #1F2328 | secondary: #6B7177 | accent: #A31D23 | neutral: #F2F3F4</x:v>
      </x:c>
      <x:c r="I18" s="7" t="str">
        <x:v>Oswald / Barlow Condensed</x:v>
      </x:c>
      <x:c r="J18" s="7" t="str">
        <x:v>Approved brand-board primary mark, icon and favicon extracted locally; vector/reversed variants remain optional production refinements</x:v>
      </x:c>
      <x:c r="K18" s="7" t="str">
        <x:v>3 generated trade images from prior LLG workspace; provenance recorded</x:v>
      </x:c>
      <x:c r="L18" s="7" t="str">
        <x:v>Three site-specific customer review excerpts are present; source records remain a production gate</x:v>
      </x:c>
      <x:c r="M18" s="7" t="str">
        <x:v>12 crawlable pages; four service pages; primary city only; adjacent-city pages blocked</x:v>
      </x:c>
      <x:c r="N18" s="7" t="str">
        <x:v>Unique title, description and H1; breadcrumbs; Organization/WebSite/Service schema; no rating schema; staging canonical omitted</x:v>
      </x:c>
      <x:c r="O18" s="7" t="str">
        <x:v>Verified: Turnstile -&gt; Worker /v1/website-leads -&gt; Supabase provider ingest; live test lead recorded</x:v>
      </x:c>
      <x:c r="P18" s="7" t="str">
        <x:v>Verified CallRail tracker: 501-300-8626</x:v>
      </x:c>
      <x:c r="Q18" s="7" t="str">
        <x:v>Optional checkbox unchecked; automated texting disabled</x:v>
      </x:c>
      <x:c r="R18" s="7" t="str">
        <x:v>not-verified; source: portfolio workbook; production recheck required</x:v>
      </x:c>
      <x:c r="S18" s="7" t="str">
        <x:v>Pass: 1440x900, 390x844, 320x780; no overflow or broken images</x:v>
      </x:c>
      <x:c r="T18" s="7" t="str">
        <x:v>Pass: all pages, robots and sitemap; portfolio total 406/406 after current redeploy</x:v>
      </x:c>
      <x:c r="U18" s="7" t="str">
        <x:v>https://clone-rebuild.little-rock-precision-walls.pages.dev</x:v>
      </x:c>
      <x:c r="V18" s="7" t="str">
        <x:v>https://littlerockprecisionwalls.com (not promoted)</x:v>
      </x:c>
      <x:c r="W18" s="7" t="str">
        <x:v>noindex, nofollow; empty staging sitemap; no staging canonical</x:v>
      </x:c>
      <x:c r="X18" s="7" t="str">
        <x:v>Preview deployed and QA passed; production held</x:v>
      </x:c>
      <x:c r="Y18" s="7" t="str">
        <x:v>routing approval; claim review; phone forwarding test; canonical/domain approval; review source records and site-specific project photos; production performance trace</x:v>
      </x:c>
    </x:row>
    <x:row r="19" ht="76" customHeight="1">
      <x:c r="A19" s="7" t="str">
        <x:v>Louisville Precision Walls</x:v>
      </x:c>
      <x:c r="B19" s="7" t="str">
        <x:v>louisville-precision-walls</x:v>
      </x:c>
      <x:c r="C19" s="7" t="str">
        <x:v>louisvilleprecisionwalls.com</x:v>
      </x:c>
      <x:c r="D19" s="7" t="str">
        <x:v>Retaining walls</x:v>
      </x:c>
      <x:c r="E19" s="7" t="str">
        <x:v>Louisville, KY</x:v>
      </x:c>
      <x:c r="F19" s="7" t="str">
        <x:v>Louisville Precision Walls.jpeg</x:v>
      </x:c>
      <x:c r="G19" s="7" t="str">
        <x:v>Pink's Concrete</x:v>
      </x:c>
      <x:c r="H19" s="7" t="str">
        <x:v>primary: #1F2A25 | secondary: #6E7270 | accent: #B85D2A | neutral: #F4F1EC</x:v>
      </x:c>
      <x:c r="I19" s="7" t="str">
        <x:v>Saira Stencil One / Work Sans</x:v>
      </x:c>
      <x:c r="J19" s="7" t="str">
        <x:v>Approved brand-board primary mark, icon and favicon extracted locally; vector/reversed variants remain optional production refinements</x:v>
      </x:c>
      <x:c r="K19" s="7" t="str">
        <x:v>76 local target photos plus generated trade imagery</x:v>
      </x:c>
      <x:c r="L19" s="7" t="str">
        <x:v>Original target review wording retained</x:v>
      </x:c>
      <x:c r="M19" s="7" t="str">
        <x:v>12 crawlable pages; four service pages; primary city only; adjacent-city pages blocked</x:v>
      </x:c>
      <x:c r="N19" s="7" t="str">
        <x:v>Unique title, description and H1; breadcrumbs; Organization/WebSite/Service schema; no rating schema; staging canonical omitted</x:v>
      </x:c>
      <x:c r="O19" s="7" t="str">
        <x:v>Verified: Turnstile -&gt; Worker /v1/website-leads -&gt; Supabase provider ingest; live test lead recorded</x:v>
      </x:c>
      <x:c r="P19" s="7" t="str">
        <x:v>Verified CallRail tracker: 502-490-3600</x:v>
      </x:c>
      <x:c r="Q19" s="7" t="str">
        <x:v>Optional checkbox unchecked; automated texting disabled</x:v>
      </x:c>
      <x:c r="R19" s="7" t="str">
        <x:v>Verified; source: portfolio workbook; production recheck required</x:v>
      </x:c>
      <x:c r="S19" s="7" t="str">
        <x:v>Pass: 1440x900, 390x844, 320x780; no overflow or broken images</x:v>
      </x:c>
      <x:c r="T19" s="7" t="str">
        <x:v>Pass: all pages, robots and sitemap; portfolio total 406/406 after current redeploy</x:v>
      </x:c>
      <x:c r="U19" s="7" t="str">
        <x:v>https://clone-rebuild.louisville-precision-walls.pages.dev</x:v>
      </x:c>
      <x:c r="V19" s="7" t="str">
        <x:v>https://louisvilleprecisionwalls.com (not promoted)</x:v>
      </x:c>
      <x:c r="W19" s="7" t="str">
        <x:v>noindex, nofollow; empty staging sitemap; no staging canonical</x:v>
      </x:c>
      <x:c r="X19" s="7" t="str">
        <x:v>Preview deployed and QA passed; production held</x:v>
      </x:c>
      <x:c r="Y19" s="7" t="str">
        <x:v>routing approval; claim review; phone forwarding test; canonical/domain approval; production performance trace</x:v>
      </x:c>
    </x:row>
    <x:row r="20" ht="76" customHeight="1">
      <x:c r="A20" s="7" t="str">
        <x:v>Morgantown Fence Pros</x:v>
      </x:c>
      <x:c r="B20" s="7" t="str">
        <x:v>morgantown-fence-pros</x:v>
      </x:c>
      <x:c r="C20" s="7" t="str">
        <x:v>morgantownfencepros.com</x:v>
      </x:c>
      <x:c r="D20" s="7" t="str">
        <x:v>Fencing</x:v>
      </x:c>
      <x:c r="E20" s="7" t="str">
        <x:v>Morgantown, WV</x:v>
      </x:c>
      <x:c r="F20" s="7" t="str">
        <x:v>Morgantown Fence Pros.jpeg</x:v>
      </x:c>
      <x:c r="G20" s="7" t="str">
        <x:v>Welborn Garage</x:v>
      </x:c>
      <x:c r="H20" s="7" t="str">
        <x:v>primary: #1E3A34 | secondary: #B66A3C | accent: #8FA79A | neutral: #F3EFE8</x:v>
      </x:c>
      <x:c r="I20" s="7" t="str">
        <x:v>Chivo / Manrope</x:v>
      </x:c>
      <x:c r="J20" s="7" t="str">
        <x:v>Approved brand-board primary mark, icon and favicon extracted locally; vector/reversed variants remain optional production refinements</x:v>
      </x:c>
      <x:c r="K20" s="7" t="str">
        <x:v>5 localized target photos plus generated trade imagery</x:v>
      </x:c>
      <x:c r="L20" s="7" t="str">
        <x:v>Original target review wording retained</x:v>
      </x:c>
      <x:c r="M20" s="7" t="str">
        <x:v>12 crawlable pages; four service pages; primary city only; adjacent-city pages blocked</x:v>
      </x:c>
      <x:c r="N20" s="7" t="str">
        <x:v>Unique title, description and H1; breadcrumbs; Organization/WebSite/Service schema; no rating schema; staging canonical omitted</x:v>
      </x:c>
      <x:c r="O20" s="7" t="str">
        <x:v>Verified: Turnstile -&gt; Worker /v1/website-leads -&gt; Supabase provider ingest; live test lead recorded</x:v>
      </x:c>
      <x:c r="P20" s="7" t="str">
        <x:v>CallRail tracker routes, but 304-648-4298 is shared; attribution conflict must be resolved</x:v>
      </x:c>
      <x:c r="Q20" s="7" t="str">
        <x:v>Optional checkbox unchecked; automated texting disabled</x:v>
      </x:c>
      <x:c r="R20" s="7" t="str">
        <x:v>TBD; source: portfolio workbook; production recheck required</x:v>
      </x:c>
      <x:c r="S20" s="7" t="str">
        <x:v>Pass: 1440x900, 390x844, 320x780; no overflow or broken images</x:v>
      </x:c>
      <x:c r="T20" s="7" t="str">
        <x:v>Pass: all pages, robots and sitemap; portfolio total 406/406 after current redeploy</x:v>
      </x:c>
      <x:c r="U20" s="7" t="str">
        <x:v>https://clone-rebuild.morgantown-fence-pros.pages.dev</x:v>
      </x:c>
      <x:c r="V20" s="7" t="str">
        <x:v>https://morgantownfencepros.com (not promoted)</x:v>
      </x:c>
      <x:c r="W20" s="7" t="str">
        <x:v>noindex, nofollow; empty staging sitemap; no staging canonical</x:v>
      </x:c>
      <x:c r="X20" s="7" t="str">
        <x:v>Preview deployed and QA passed; production held</x:v>
      </x:c>
      <x:c r="Y20" s="7" t="str">
        <x:v>routing approval; claim review; phone forwarding test; canonical/domain approval; CallRail tracker routes, but 304-648-4298 is shared; attribution conflict must be resolved; production performance trace</x:v>
      </x:c>
    </x:row>
    <x:row r="21" ht="76" customHeight="1">
      <x:c r="A21" s="7" t="str">
        <x:v>Naples Pool Pros</x:v>
      </x:c>
      <x:c r="B21" s="7" t="str">
        <x:v>naples-pool-pros</x:v>
      </x:c>
      <x:c r="C21" s="7" t="str">
        <x:v>naplespoolpros.com</x:v>
      </x:c>
      <x:c r="D21" s="7" t="str">
        <x:v>Pool service</x:v>
      </x:c>
      <x:c r="E21" s="7" t="str">
        <x:v>Naples, FL</x:v>
      </x:c>
      <x:c r="F21" s="7" t="str">
        <x:v>Naples Pool PRos.jpeg</x:v>
      </x:c>
      <x:c r="G21" s="7" t="str">
        <x:v>Trips Windows — Small Export</x:v>
      </x:c>
      <x:c r="H21" s="7" t="str">
        <x:v>primary: #0D2B3A | secondary: #0F5C6E | accent: #D1AF6A | neutral: #F3EFE6</x:v>
      </x:c>
      <x:c r="I21" s="7" t="str">
        <x:v>Cinzel Decorative / Manrope</x:v>
      </x:c>
      <x:c r="J21" s="7" t="str">
        <x:v>Approved brand-board primary mark, icon and favicon extracted locally; vector/reversed variants remain optional production refinements</x:v>
      </x:c>
      <x:c r="K21" s="7" t="str">
        <x:v>3 generated trade images from prior LLG workspace; provenance recorded</x:v>
      </x:c>
      <x:c r="L21" s="7" t="str">
        <x:v>Three site-specific customer review excerpts are present; source records remain a production gate</x:v>
      </x:c>
      <x:c r="M21" s="7" t="str">
        <x:v>12 crawlable pages; four service pages; primary city only; adjacent-city pages blocked</x:v>
      </x:c>
      <x:c r="N21" s="7" t="str">
        <x:v>Unique title, description and H1; breadcrumbs; Organization/WebSite/Service schema; no rating schema; staging canonical omitted</x:v>
      </x:c>
      <x:c r="O21" s="7" t="str">
        <x:v>Verified: Turnstile -&gt; Worker /v1/website-leads -&gt; Supabase provider ingest; live test lead recorded</x:v>
      </x:c>
      <x:c r="P21" s="7" t="str">
        <x:v>Form-only preview; 239-310-7007 is not in the CallRail inventory and needs a tracker</x:v>
      </x:c>
      <x:c r="Q21" s="7" t="str">
        <x:v>Optional checkbox unchecked; automated texting disabled</x:v>
      </x:c>
      <x:c r="R21" s="7" t="str">
        <x:v>not-verified; source: portfolio workbook; production recheck required</x:v>
      </x:c>
      <x:c r="S21" s="7" t="str">
        <x:v>Pass: 1440x900, 390x844, 320x780; no overflow or broken images</x:v>
      </x:c>
      <x:c r="T21" s="7" t="str">
        <x:v>Pass: all pages, robots and sitemap; portfolio total 406/406 after current redeploy</x:v>
      </x:c>
      <x:c r="U21" s="7" t="str">
        <x:v>https://clone-rebuild.naples-pool-pros.pages.dev</x:v>
      </x:c>
      <x:c r="V21" s="7" t="str">
        <x:v>https://naplespoolpros.com (not promoted)</x:v>
      </x:c>
      <x:c r="W21" s="7" t="str">
        <x:v>noindex, nofollow; empty staging sitemap; no staging canonical</x:v>
      </x:c>
      <x:c r="X21" s="7" t="str">
        <x:v>Preview deployed and QA passed; production held</x:v>
      </x:c>
      <x:c r="Y21" s="7" t="str">
        <x:v>routing approval; claim review; phone forwarding test; canonical/domain approval; review source records and site-specific project photos; Form-only preview; 239-310-7007 is not in the CallRail inventory and needs a tracker; production performance trace</x:v>
      </x:c>
    </x:row>
    <x:row r="22" ht="76" customHeight="1">
      <x:c r="A22" s="7" t="str">
        <x:v>Nashville Crawlspace</x:v>
      </x:c>
      <x:c r="B22" s="7" t="str">
        <x:v>nashville-crawlspace</x:v>
      </x:c>
      <x:c r="C22" s="7" t="str">
        <x:v>nashville-crawlspace.com</x:v>
      </x:c>
      <x:c r="D22" s="7" t="str">
        <x:v>Crawlspace</x:v>
      </x:c>
      <x:c r="E22" s="7" t="str">
        <x:v>Nashville, TN</x:v>
      </x:c>
      <x:c r="F22" s="7" t="str">
        <x:v>Nashville Crawlspace.jpeg</x:v>
      </x:c>
      <x:c r="G22" s="7" t="str">
        <x:v>NextGen Windows</x:v>
      </x:c>
      <x:c r="H22" s="7" t="str">
        <x:v>primary: #0F1B2A | secondary: #A3683A | accent: #D9D5CC | neutral: #6B7077</x:v>
      </x:c>
      <x:c r="I22" s="7" t="str">
        <x:v>Bebas Neue / DM Sans</x:v>
      </x:c>
      <x:c r="J22" s="7" t="str">
        <x:v>Approved brand-board primary mark, icon and favicon extracted locally; vector/reversed variants remain optional production refinements</x:v>
      </x:c>
      <x:c r="K22" s="7" t="str">
        <x:v>3 generated trade images from prior LLG workspace; provenance recorded</x:v>
      </x:c>
      <x:c r="L22" s="7" t="str">
        <x:v>Three site-specific customer review excerpts are present; source records remain a production gate</x:v>
      </x:c>
      <x:c r="M22" s="7" t="str">
        <x:v>12 crawlable pages; four service pages; primary city only; adjacent-city pages blocked</x:v>
      </x:c>
      <x:c r="N22" s="7" t="str">
        <x:v>Unique title, description and H1; breadcrumbs; Organization/WebSite/Service schema; no rating schema; staging canonical omitted</x:v>
      </x:c>
      <x:c r="O22" s="7" t="str">
        <x:v>Verified: Turnstile -&gt; Worker /v1/website-leads -&gt; Supabase provider ingest; live test lead recorded</x:v>
      </x:c>
      <x:c r="P22" s="7" t="str">
        <x:v>Form-only preview; 615-805-5596 is not in the CallRail inventory and needs a tracker</x:v>
      </x:c>
      <x:c r="Q22" s="7" t="str">
        <x:v>Optional checkbox unchecked; automated texting disabled</x:v>
      </x:c>
      <x:c r="R22" s="7" t="str">
        <x:v>not-verified; source: portfolio workbook; production recheck required</x:v>
      </x:c>
      <x:c r="S22" s="7" t="str">
        <x:v>Pass: 1440x900, 390x844, 320x780; no overflow or broken images</x:v>
      </x:c>
      <x:c r="T22" s="7" t="str">
        <x:v>Pass: all pages, robots and sitemap; portfolio total 406/406 after current redeploy</x:v>
      </x:c>
      <x:c r="U22" s="7" t="str">
        <x:v>https://clone-rebuild.nashville-crawlspace.pages.dev</x:v>
      </x:c>
      <x:c r="V22" s="7" t="str">
        <x:v>https://nashville-crawlspace.com (not promoted)</x:v>
      </x:c>
      <x:c r="W22" s="7" t="str">
        <x:v>noindex, nofollow; empty staging sitemap; no staging canonical</x:v>
      </x:c>
      <x:c r="X22" s="7" t="str">
        <x:v>Preview deployed and QA passed; production held</x:v>
      </x:c>
      <x:c r="Y22" s="7" t="str">
        <x:v>routing approval; claim review; phone forwarding test; canonical/domain approval; review source records and site-specific project photos; Form-only preview; 615-805-5596 is not in the CallRail inventory and needs a tracker; production performance trace; No exact portfolio-workbook domain match; business facts must be supplied or reverified.</x:v>
      </x:c>
    </x:row>
    <x:row r="23" ht="76" customHeight="1">
      <x:c r="A23" s="7" t="str">
        <x:v>Nashville Backyards</x:v>
      </x:c>
      <x:c r="B23" s="7" t="str">
        <x:v>nashville-backyards</x:v>
      </x:c>
      <x:c r="C23" s="7" t="str">
        <x:v>nashvillebackyards.com</x:v>
      </x:c>
      <x:c r="D23" s="7" t="str">
        <x:v>Backyard construction</x:v>
      </x:c>
      <x:c r="E23" s="7" t="str">
        <x:v>Nashville, TN</x:v>
      </x:c>
      <x:c r="F23" s="7" t="str">
        <x:v>Nashvlle Backyards.jpeg</x:v>
      </x:c>
      <x:c r="G23" s="7" t="str">
        <x:v>Welborn Garage</x:v>
      </x:c>
      <x:c r="H23" s="7" t="str">
        <x:v>primary: #2F3E2E | secondary: #6B7D4D | accent: #C9B38A | neutral: #F2EFE8</x:v>
      </x:c>
      <x:c r="I23" s="7" t="str">
        <x:v>Cormorant Garamond / Source Serif 4</x:v>
      </x:c>
      <x:c r="J23" s="7" t="str">
        <x:v>Approved brand-board primary mark, icon and favicon extracted locally; vector/reversed variants remain optional production refinements</x:v>
      </x:c>
      <x:c r="K23" s="7" t="str">
        <x:v>3 generated trade images from prior LLG workspace; provenance recorded</x:v>
      </x:c>
      <x:c r="L23" s="7" t="str">
        <x:v>Three site-specific customer review excerpts are present; source records remain a production gate</x:v>
      </x:c>
      <x:c r="M23" s="7" t="str">
        <x:v>12 crawlable pages; four service pages; primary city only; adjacent-city pages blocked</x:v>
      </x:c>
      <x:c r="N23" s="7" t="str">
        <x:v>Unique title, description and H1; breadcrumbs; Organization/WebSite/Service schema; no rating schema; staging canonical omitted</x:v>
      </x:c>
      <x:c r="O23" s="7" t="str">
        <x:v>Verified: Turnstile -&gt; Worker /v1/website-leads -&gt; Supabase provider ingest; live test lead recorded</x:v>
      </x:c>
      <x:c r="P23" s="7" t="str">
        <x:v>Form-only preview; 615-241-6010 is not in the CallRail inventory and needs a tracker</x:v>
      </x:c>
      <x:c r="Q23" s="7" t="str">
        <x:v>Optional checkbox unchecked; automated texting disabled</x:v>
      </x:c>
      <x:c r="R23" s="7" t="str">
        <x:v>not-verified; source: portfolio workbook; production recheck required</x:v>
      </x:c>
      <x:c r="S23" s="7" t="str">
        <x:v>Pass: 1440x900, 390x844, 320x780; no overflow or broken images</x:v>
      </x:c>
      <x:c r="T23" s="7" t="str">
        <x:v>Pass: all pages, robots and sitemap; portfolio total 406/406 after current redeploy</x:v>
      </x:c>
      <x:c r="U23" s="7" t="str">
        <x:v>https://clone-rebuild.nashville-backyards.pages.dev</x:v>
      </x:c>
      <x:c r="V23" s="7" t="str">
        <x:v>https://nashvillebackyards.com (not promoted)</x:v>
      </x:c>
      <x:c r="W23" s="7" t="str">
        <x:v>noindex, nofollow; empty staging sitemap; no staging canonical</x:v>
      </x:c>
      <x:c r="X23" s="7" t="str">
        <x:v>Preview deployed and QA passed; production held</x:v>
      </x:c>
      <x:c r="Y23" s="7" t="str">
        <x:v>routing approval; claim review; phone forwarding test; canonical/domain approval; review source records and site-specific project photos; Form-only preview; 615-241-6010 is not in the CallRail inventory and needs a tracker; production performance trace</x:v>
      </x:c>
    </x:row>
    <x:row r="24" ht="76" customHeight="1">
      <x:c r="A24" s="7" t="str">
        <x:v>New Orleans French Drain</x:v>
      </x:c>
      <x:c r="B24" s="7" t="str">
        <x:v>new-orleans-french-drain</x:v>
      </x:c>
      <x:c r="C24" s="7" t="str">
        <x:v>neworleansfrenchdrain.com</x:v>
      </x:c>
      <x:c r="D24" s="7" t="str">
        <x:v>Drainage</x:v>
      </x:c>
      <x:c r="E24" s="7" t="str">
        <x:v>New Orleans, LA</x:v>
      </x:c>
      <x:c r="F24" s="7" t="str">
        <x:v>New Orleans French Drain.jpeg</x:v>
      </x:c>
      <x:c r="G24" s="7" t="str">
        <x:v>Roof Right Now</x:v>
      </x:c>
      <x:c r="H24" s="7" t="str">
        <x:v>primary: #2B1D3A | secondary: #6E6478 | accent: #C89D47 | neutral: #F4F1EA</x:v>
      </x:c>
      <x:c r="I24" s="7" t="str">
        <x:v>Cormorant Unicase / Manrope</x:v>
      </x:c>
      <x:c r="J24" s="7" t="str">
        <x:v>Approved brand-board primary mark, icon and favicon extracted locally; vector/reversed variants remain optional production refinements</x:v>
      </x:c>
      <x:c r="K24" s="7" t="str">
        <x:v>3 generated trade images from prior LLG workspace; provenance recorded</x:v>
      </x:c>
      <x:c r="L24" s="7" t="str">
        <x:v>Three site-specific customer review excerpts are present; source records remain a production gate</x:v>
      </x:c>
      <x:c r="M24" s="7" t="str">
        <x:v>12 crawlable pages; four service pages; primary city only; adjacent-city pages blocked</x:v>
      </x:c>
      <x:c r="N24" s="7" t="str">
        <x:v>Unique title, description and H1; breadcrumbs; Organization/WebSite/Service schema; no rating schema; staging canonical omitted</x:v>
      </x:c>
      <x:c r="O24" s="7" t="str">
        <x:v>Verified: Turnstile -&gt; Worker /v1/website-leads -&gt; Supabase provider ingest; live test lead recorded</x:v>
      </x:c>
      <x:c r="P24" s="7" t="str">
        <x:v>Verified CallRail tracker: 504-221-8993</x:v>
      </x:c>
      <x:c r="Q24" s="7" t="str">
        <x:v>Optional checkbox unchecked; automated texting disabled</x:v>
      </x:c>
      <x:c r="R24" s="7" t="str">
        <x:v>Verified; source: portfolio workbook; production recheck required</x:v>
      </x:c>
      <x:c r="S24" s="7" t="str">
        <x:v>Pass: 1440x900, 390x844, 320x780; no overflow or broken images</x:v>
      </x:c>
      <x:c r="T24" s="7" t="str">
        <x:v>Pass: all pages, robots and sitemap; portfolio total 406/406 after current redeploy</x:v>
      </x:c>
      <x:c r="U24" s="7" t="str">
        <x:v>https://clone-rebuild.new-orleans-french-drain.pages.dev</x:v>
      </x:c>
      <x:c r="V24" s="7" t="str">
        <x:v>https://neworleansfrenchdrain.com (not promoted)</x:v>
      </x:c>
      <x:c r="W24" s="7" t="str">
        <x:v>noindex, nofollow; empty staging sitemap; no staging canonical</x:v>
      </x:c>
      <x:c r="X24" s="7" t="str">
        <x:v>Preview deployed and QA passed; production held</x:v>
      </x:c>
      <x:c r="Y24" s="7" t="str">
        <x:v>routing approval; claim review; phone forwarding test; canonical/domain approval; review source records and site-specific project photos; production performance trace</x:v>
      </x:c>
    </x:row>
    <x:row r="25" ht="76" customHeight="1">
      <x:c r="A25" s="7" t="str">
        <x:v>PGH Painting Pros</x:v>
      </x:c>
      <x:c r="B25" s="7" t="str">
        <x:v>pgh-painting-pros</x:v>
      </x:c>
      <x:c r="C25" s="7" t="str">
        <x:v>pghpaintingpros.com</x:v>
      </x:c>
      <x:c r="D25" s="7" t="str">
        <x:v>Painting</x:v>
      </x:c>
      <x:c r="E25" s="7" t="str">
        <x:v>Pittsburgh, PA</x:v>
      </x:c>
      <x:c r="F25" s="7" t="str">
        <x:v>PGH Painting Pros.jpeg</x:v>
      </x:c>
      <x:c r="G25" s="7" t="str">
        <x:v>Cincinnati Painting</x:v>
      </x:c>
      <x:c r="H25" s="7" t="str">
        <x:v>primary: #1F2328 | secondary: #FDB813 | accent: #6B6F76 | neutral: #F5F5F5</x:v>
      </x:c>
      <x:c r="I25" s="7" t="str">
        <x:v>Oswald / Work Sans</x:v>
      </x:c>
      <x:c r="J25" s="7" t="str">
        <x:v>Approved brand-board primary mark, icon and favicon extracted locally; vector/reversed variants remain optional production refinements</x:v>
      </x:c>
      <x:c r="K25" s="7" t="str">
        <x:v>3 generated trade images from prior LLG workspace; provenance recorded</x:v>
      </x:c>
      <x:c r="L25" s="7" t="str">
        <x:v>Three site-specific customer review excerpts are present; source records remain a production gate</x:v>
      </x:c>
      <x:c r="M25" s="7" t="str">
        <x:v>12 crawlable pages; four service pages; primary city only; adjacent-city pages blocked</x:v>
      </x:c>
      <x:c r="N25" s="7" t="str">
        <x:v>Unique title, description and H1; breadcrumbs; Organization/WebSite/Service schema; no rating schema; staging canonical omitted</x:v>
      </x:c>
      <x:c r="O25" s="7" t="str">
        <x:v>Verified: Turnstile -&gt; Worker /v1/website-leads -&gt; Supabase provider ingest; live test lead recorded</x:v>
      </x:c>
      <x:c r="P25" s="7" t="str">
        <x:v>Form-only preview; 412-775-2235 is not in the CallRail inventory and needs a tracker</x:v>
      </x:c>
      <x:c r="Q25" s="7" t="str">
        <x:v>Optional checkbox unchecked; automated texting disabled</x:v>
      </x:c>
      <x:c r="R25" s="7" t="str">
        <x:v>not-verified; source: portfolio workbook; production recheck required</x:v>
      </x:c>
      <x:c r="S25" s="7" t="str">
        <x:v>Pass: 1440x900, 390x844, 320x780; no overflow or broken images</x:v>
      </x:c>
      <x:c r="T25" s="7" t="str">
        <x:v>Pass: all pages, robots and sitemap; portfolio total 406/406 after current redeploy</x:v>
      </x:c>
      <x:c r="U25" s="7" t="str">
        <x:v>https://clone-rebuild.pgh-painting-pros.pages.dev</x:v>
      </x:c>
      <x:c r="V25" s="7" t="str">
        <x:v>https://pghpaintingpros.com (not promoted)</x:v>
      </x:c>
      <x:c r="W25" s="7" t="str">
        <x:v>noindex, nofollow; empty staging sitemap; no staging canonical</x:v>
      </x:c>
      <x:c r="X25" s="7" t="str">
        <x:v>Preview deployed and QA passed; production held</x:v>
      </x:c>
      <x:c r="Y25" s="7" t="str">
        <x:v>routing approval; claim review; phone forwarding test; canonical/domain approval; review source records and site-specific project photos; Form-only preview; 412-775-2235 is not in the CallRail inventory and needs a tracker; production performance trace</x:v>
      </x:c>
    </x:row>
    <x:row r="26" ht="76" customHeight="1">
      <x:c r="A26" s="7" t="str">
        <x:v>PGH Pool Service</x:v>
      </x:c>
      <x:c r="B26" s="7" t="str">
        <x:v>pgh-pool-service</x:v>
      </x:c>
      <x:c r="C26" s="7" t="str">
        <x:v>pghpoolservice.com</x:v>
      </x:c>
      <x:c r="D26" s="7" t="str">
        <x:v>Pool service</x:v>
      </x:c>
      <x:c r="E26" s="7" t="str">
        <x:v>Pittsburgh, PA</x:v>
      </x:c>
      <x:c r="F26" s="7" t="str">
        <x:v>PGH Pool Service.jpeg</x:v>
      </x:c>
      <x:c r="G26" s="7" t="str">
        <x:v>Trips Windows — Full Export</x:v>
      </x:c>
      <x:c r="H26" s="7" t="str">
        <x:v>primary: #0D1B2A | secondary: #00AEEF | accent: #2DD4BF | neutral: #E6E8EB</x:v>
      </x:c>
      <x:c r="I26" s="7" t="str">
        <x:v>Barlow Condensed / Source Sans 3</x:v>
      </x:c>
      <x:c r="J26" s="7" t="str">
        <x:v>Approved brand-board primary mark, icon and favicon extracted locally; vector/reversed variants remain optional production refinements</x:v>
      </x:c>
      <x:c r="K26" s="7" t="str">
        <x:v>3 generated trade images from prior LLG workspace; provenance recorded</x:v>
      </x:c>
      <x:c r="L26" s="7" t="str">
        <x:v>Three site-specific customer review excerpts are present; source records remain a production gate</x:v>
      </x:c>
      <x:c r="M26" s="7" t="str">
        <x:v>12 crawlable pages; four service pages; primary city only; adjacent-city pages blocked</x:v>
      </x:c>
      <x:c r="N26" s="7" t="str">
        <x:v>Unique title, description and H1; breadcrumbs; Organization/WebSite/Service schema; no rating schema; staging canonical omitted</x:v>
      </x:c>
      <x:c r="O26" s="7" t="str">
        <x:v>Verified: Turnstile -&gt; Worker /v1/website-leads -&gt; Supabase provider ingest; live test lead recorded</x:v>
      </x:c>
      <x:c r="P26" s="7" t="str">
        <x:v>Verified CallRail tracker: 412-615-3550</x:v>
      </x:c>
      <x:c r="Q26" s="7" t="str">
        <x:v>Optional checkbox unchecked; automated texting disabled</x:v>
      </x:c>
      <x:c r="R26" s="7" t="str">
        <x:v>Verified; source: portfolio workbook; production recheck required</x:v>
      </x:c>
      <x:c r="S26" s="7" t="str">
        <x:v>Pass: 1440x900, 390x844, 320x780; no overflow or broken images</x:v>
      </x:c>
      <x:c r="T26" s="7" t="str">
        <x:v>Pass: all pages, robots and sitemap; portfolio total 406/406 after current redeploy</x:v>
      </x:c>
      <x:c r="U26" s="7" t="str">
        <x:v>https://clone-rebuild.pgh-pool-service.pages.dev</x:v>
      </x:c>
      <x:c r="V26" s="7" t="str">
        <x:v>https://pghpoolservice.com (not promoted)</x:v>
      </x:c>
      <x:c r="W26" s="7" t="str">
        <x:v>noindex, nofollow; empty staging sitemap; no staging canonical</x:v>
      </x:c>
      <x:c r="X26" s="7" t="str">
        <x:v>Preview deployed and QA passed; production held</x:v>
      </x:c>
      <x:c r="Y26" s="7" t="str">
        <x:v>routing approval; claim review; phone forwarding test; canonical/domain approval; review source records and site-specific project photos; production performance trace</x:v>
      </x:c>
    </x:row>
    <x:row r="27" ht="76" customHeight="1">
      <x:c r="A27" s="7" t="str">
        <x:v>Pittsburgh French Drain</x:v>
      </x:c>
      <x:c r="B27" s="7" t="str">
        <x:v>pittsburgh-french-drain</x:v>
      </x:c>
      <x:c r="C27" s="7" t="str">
        <x:v>pghfrenchdrain.com</x:v>
      </x:c>
      <x:c r="D27" s="7" t="str">
        <x:v>Drainage</x:v>
      </x:c>
      <x:c r="E27" s="7" t="str">
        <x:v>Pittsburgh, PA</x:v>
      </x:c>
      <x:c r="F27" s="7" t="str">
        <x:v>Pittsburgh French Drain.jpeg</x:v>
      </x:c>
      <x:c r="G27" s="7" t="str">
        <x:v>Roof Right Now</x:v>
      </x:c>
      <x:c r="H27" s="7" t="str">
        <x:v>primary: #0D1B2A | secondary: #1E88E5 | accent: #00B4D8 | neutral: #F2F2F2</x:v>
      </x:c>
      <x:c r="I27" s="7" t="str">
        <x:v>Teko / Barlow Condensed</x:v>
      </x:c>
      <x:c r="J27" s="7" t="str">
        <x:v>Approved brand-board primary mark, icon and favicon extracted locally; vector/reversed variants remain optional production refinements</x:v>
      </x:c>
      <x:c r="K27" s="7" t="str">
        <x:v>45 local target photos plus generated trade imagery</x:v>
      </x:c>
      <x:c r="L27" s="7" t="str">
        <x:v>Original target review wording retained</x:v>
      </x:c>
      <x:c r="M27" s="7" t="str">
        <x:v>12 crawlable pages; four service pages; primary city only; adjacent-city pages blocked</x:v>
      </x:c>
      <x:c r="N27" s="7" t="str">
        <x:v>Unique title, description and H1; breadcrumbs; Organization/WebSite/Service schema; no rating schema; staging canonical omitted</x:v>
      </x:c>
      <x:c r="O27" s="7" t="str">
        <x:v>Verified: Turnstile -&gt; Worker /v1/website-leads -&gt; Supabase provider ingest; live test lead recorded</x:v>
      </x:c>
      <x:c r="P27" s="7" t="str">
        <x:v>Verified CallRail tracker: 412-850-4615</x:v>
      </x:c>
      <x:c r="Q27" s="7" t="str">
        <x:v>Optional checkbox unchecked; automated texting disabled</x:v>
      </x:c>
      <x:c r="R27" s="7" t="str">
        <x:v>Verified x2 - domain mismatch in workbook; source: portfolio workbook; production recheck required</x:v>
      </x:c>
      <x:c r="S27" s="7" t="str">
        <x:v>Pass: 1440x900, 390x844, 320x780; no overflow or broken images</x:v>
      </x:c>
      <x:c r="T27" s="7" t="str">
        <x:v>Pass: all pages, robots and sitemap; portfolio total 406/406 after current redeploy</x:v>
      </x:c>
      <x:c r="U27" s="7" t="str">
        <x:v>https://clone-rebuild.pittsburgh-french-drain-site.pages.dev</x:v>
      </x:c>
      <x:c r="V27" s="7" t="str">
        <x:v>https://pghfrenchdrain.com (not promoted)</x:v>
      </x:c>
      <x:c r="W27" s="7" t="str">
        <x:v>noindex, nofollow; empty staging sitemap; no staging canonical</x:v>
      </x:c>
      <x:c r="X27" s="7" t="str">
        <x:v>Preview deployed and QA passed; production held</x:v>
      </x:c>
      <x:c r="Y27" s="7" t="str">
        <x:v>routing approval; claim review; phone forwarding test; canonical/domain approval; production performance trace; Workbook used pghfrenchdrains.com (plural); target is pghfrenchdrain.com. Reverify domain, phone and GBP.</x:v>
      </x:c>
    </x:row>
    <x:row r="28" ht="76" customHeight="1">
      <x:c r="A28" s="7" t="str">
        <x:v>Salt Lake City Precision Walls</x:v>
      </x:c>
      <x:c r="B28" s="7" t="str">
        <x:v>salt-lake-city-precision-walls</x:v>
      </x:c>
      <x:c r="C28" s="7" t="str">
        <x:v>saltlakecityprecisionwalls.com</x:v>
      </x:c>
      <x:c r="D28" s="7" t="str">
        <x:v>Retaining walls</x:v>
      </x:c>
      <x:c r="E28" s="7" t="str">
        <x:v>Salt Lake City, UT</x:v>
      </x:c>
      <x:c r="F28" s="7" t="str">
        <x:v>Salt Lake City Precision Walls.jpeg</x:v>
      </x:c>
      <x:c r="G28" s="7" t="str">
        <x:v>Pink's Concrete</x:v>
      </x:c>
      <x:c r="H28" s="7" t="str">
        <x:v>primary: #1F2A30 | secondary: #C9B79C | accent: #D06B3B | neutral: #F4F1EC</x:v>
      </x:c>
      <x:c r="I28" s="7" t="str">
        <x:v>Syne / Albert Sans</x:v>
      </x:c>
      <x:c r="J28" s="7" t="str">
        <x:v>Approved brand-board primary mark, icon and favicon extracted locally; vector/reversed variants remain optional production refinements</x:v>
      </x:c>
      <x:c r="K28" s="7" t="str">
        <x:v>3 generated trade images from prior LLG workspace; provenance recorded</x:v>
      </x:c>
      <x:c r="L28" s="7" t="str">
        <x:v>Three site-specific customer review excerpts are present; source records remain a production gate</x:v>
      </x:c>
      <x:c r="M28" s="7" t="str">
        <x:v>12 crawlable pages; four service pages; primary city only; adjacent-city pages blocked</x:v>
      </x:c>
      <x:c r="N28" s="7" t="str">
        <x:v>Unique title, description and H1; breadcrumbs; Organization/WebSite/Service schema; no rating schema; staging canonical omitted</x:v>
      </x:c>
      <x:c r="O28" s="7" t="str">
        <x:v>Verified: Turnstile -&gt; Worker /v1/website-leads -&gt; Supabase provider ingest; live test lead recorded</x:v>
      </x:c>
      <x:c r="P28" s="7" t="str">
        <x:v>Verified CallRail tracker: 801-823-4285</x:v>
      </x:c>
      <x:c r="Q28" s="7" t="str">
        <x:v>Optional checkbox unchecked; automated texting disabled</x:v>
      </x:c>
      <x:c r="R28" s="7" t="str">
        <x:v>not-verified; source: portfolio workbook; production recheck required</x:v>
      </x:c>
      <x:c r="S28" s="7" t="str">
        <x:v>Pass: 1440x900, 390x844, 320x780; no overflow or broken images</x:v>
      </x:c>
      <x:c r="T28" s="7" t="str">
        <x:v>Pass: all pages, robots and sitemap; portfolio total 406/406 after current redeploy</x:v>
      </x:c>
      <x:c r="U28" s="7" t="str">
        <x:v>https://clone-rebuild.salt-lake-city-precision-walls.pages.dev</x:v>
      </x:c>
      <x:c r="V28" s="7" t="str">
        <x:v>https://saltlakecityprecisionwalls.com (not promoted)</x:v>
      </x:c>
      <x:c r="W28" s="7" t="str">
        <x:v>noindex, nofollow; empty staging sitemap; no staging canonical</x:v>
      </x:c>
      <x:c r="X28" s="7" t="str">
        <x:v>Preview deployed and QA passed; production held</x:v>
      </x:c>
      <x:c r="Y28" s="7" t="str">
        <x:v>routing approval; claim review; phone forwarding test; canonical/domain approval; review source records and site-specific project photos; production performance trace</x:v>
      </x:c>
    </x:row>
    <x:row r="29" ht="76" customHeight="1">
      <x:c r="A29" s="7" t="str">
        <x:v>Tulsa Drain Pros</x:v>
      </x:c>
      <x:c r="B29" s="7" t="str">
        <x:v>tulsa-drain-pros</x:v>
      </x:c>
      <x:c r="C29" s="7" t="str">
        <x:v>tulsadrainpros.com</x:v>
      </x:c>
      <x:c r="D29" s="7" t="str">
        <x:v>Drainage</x:v>
      </x:c>
      <x:c r="E29" s="7" t="str">
        <x:v>Tulsa, OK</x:v>
      </x:c>
      <x:c r="F29" s="7" t="str">
        <x:v>Tulsa Drain PRos.jpeg</x:v>
      </x:c>
      <x:c r="G29" s="7" t="str">
        <x:v>Minuteman</x:v>
      </x:c>
      <x:c r="H29" s="7" t="str">
        <x:v>primary: #0B2540 | secondary: #0DA1B4 | accent: #63B15C | neutral: #F2F4F6</x:v>
      </x:c>
      <x:c r="I29" s="7" t="str">
        <x:v>Nunito Sans / DM Sans</x:v>
      </x:c>
      <x:c r="J29" s="7" t="str">
        <x:v>Approved brand-board primary mark, icon and favicon extracted locally; vector/reversed variants remain optional production refinements</x:v>
      </x:c>
      <x:c r="K29" s="7" t="str">
        <x:v>3 generated trade images from prior LLG workspace; provenance recorded</x:v>
      </x:c>
      <x:c r="L29" s="7" t="str">
        <x:v>Three site-specific customer review excerpts are present; source records remain a production gate</x:v>
      </x:c>
      <x:c r="M29" s="7" t="str">
        <x:v>12 crawlable pages; four service pages; primary city only; adjacent-city pages blocked</x:v>
      </x:c>
      <x:c r="N29" s="7" t="str">
        <x:v>Unique title, description and H1; breadcrumbs; Organization/WebSite/Service schema; no rating schema; staging canonical omitted</x:v>
      </x:c>
      <x:c r="O29" s="7" t="str">
        <x:v>Verified: Turnstile -&gt; Worker /v1/website-leads -&gt; Supabase provider ingest; live test lead recorded</x:v>
      </x:c>
      <x:c r="P29" s="7" t="str">
        <x:v>Verified CallRail tracker: 918-255-5206</x:v>
      </x:c>
      <x:c r="Q29" s="7" t="str">
        <x:v>Optional checkbox unchecked; automated texting disabled</x:v>
      </x:c>
      <x:c r="R29" s="7" t="str">
        <x:v>Verified; source: portfolio workbook; production recheck required</x:v>
      </x:c>
      <x:c r="S29" s="7" t="str">
        <x:v>Pass: 1440x900, 390x844, 320x780; no overflow or broken images</x:v>
      </x:c>
      <x:c r="T29" s="7" t="str">
        <x:v>Pass: all pages, robots and sitemap; portfolio total 406/406 after current redeploy</x:v>
      </x:c>
      <x:c r="U29" s="7" t="str">
        <x:v>https://clone-rebuild.tulsa-drain-pros.pages.dev</x:v>
      </x:c>
      <x:c r="V29" s="7" t="str">
        <x:v>https://tulsadrainpros.com (not promoted)</x:v>
      </x:c>
      <x:c r="W29" s="7" t="str">
        <x:v>noindex, nofollow; empty staging sitemap; no staging canonical</x:v>
      </x:c>
      <x:c r="X29" s="7" t="str">
        <x:v>Preview deployed and QA passed; production held</x:v>
      </x:c>
      <x:c r="Y29" s="7" t="str">
        <x:v>routing approval; claim review; phone forwarding test; canonical/domain approval; review source records and site-specific project photos; production performance trace</x:v>
      </x:c>
    </x:row>
    <x:row r="30" ht="76" customHeight="1">
      <x:c r="A30" s="7" t="str">
        <x:v>WS Crawl Space</x:v>
      </x:c>
      <x:c r="B30" s="7" t="str">
        <x:v>ws-crawl-space</x:v>
      </x:c>
      <x:c r="C30" s="7" t="str">
        <x:v>wscrawlspace.com</x:v>
      </x:c>
      <x:c r="D30" s="7" t="str">
        <x:v>Crawlspace</x:v>
      </x:c>
      <x:c r="E30" s="7" t="str">
        <x:v>Winston-Salem, NC</x:v>
      </x:c>
      <x:c r="F30" s="7" t="str">
        <x:v>WS Crawl Space.jpeg</x:v>
      </x:c>
      <x:c r="G30" s="7" t="str">
        <x:v>Welborn Garage</x:v>
      </x:c>
      <x:c r="H30" s="7" t="str">
        <x:v>primary: #0D1B2A | secondary: #C48F2C | accent: #6B7280 | neutral: #F2F3F5</x:v>
      </x:c>
      <x:c r="I30" s="7" t="str">
        <x:v>Anton / DM Sans</x:v>
      </x:c>
      <x:c r="J30" s="7" t="str">
        <x:v>Approved brand-board primary mark, icon and favicon extracted locally; vector/reversed variants remain optional production refinements</x:v>
      </x:c>
      <x:c r="K30" s="7" t="str">
        <x:v>3 generated trade images from prior LLG workspace; provenance recorded</x:v>
      </x:c>
      <x:c r="L30" s="7" t="str">
        <x:v>Three site-specific customer review excerpts are present; source records remain a production gate</x:v>
      </x:c>
      <x:c r="M30" s="7" t="str">
        <x:v>12 crawlable pages; four service pages; primary city only; adjacent-city pages blocked</x:v>
      </x:c>
      <x:c r="N30" s="7" t="str">
        <x:v>Unique title, description and H1; breadcrumbs; Organization/WebSite/Service schema; no rating schema; staging canonical omitted</x:v>
      </x:c>
      <x:c r="O30" s="7" t="str">
        <x:v>Verified: Turnstile -&gt; Worker /v1/website-leads -&gt; Supabase provider ingest; live test lead recorded</x:v>
      </x:c>
      <x:c r="P30" s="7" t="str">
        <x:v>Form-only preview; 336-842-0660 is not in the CallRail inventory and needs a tracker</x:v>
      </x:c>
      <x:c r="Q30" s="7" t="str">
        <x:v>Optional checkbox unchecked; automated texting disabled</x:v>
      </x:c>
      <x:c r="R30" s="7" t="str">
        <x:v>not-verified; source: portfolio workbook; production recheck required</x:v>
      </x:c>
      <x:c r="S30" s="7" t="str">
        <x:v>Pass: 1440x900, 390x844, 320x780; no overflow or broken images</x:v>
      </x:c>
      <x:c r="T30" s="7" t="str">
        <x:v>Pass: all pages, robots and sitemap; portfolio total 406/406 after current redeploy</x:v>
      </x:c>
      <x:c r="U30" s="7" t="str">
        <x:v>https://clone-rebuild.ws-crawl-space.pages.dev</x:v>
      </x:c>
      <x:c r="V30" s="7" t="str">
        <x:v>https://wscrawlspace.com (not promoted)</x:v>
      </x:c>
      <x:c r="W30" s="7" t="str">
        <x:v>noindex, nofollow; empty staging sitemap; no staging canonical</x:v>
      </x:c>
      <x:c r="X30" s="7" t="str">
        <x:v>Preview deployed and QA passed; production held</x:v>
      </x:c>
      <x:c r="Y30" s="7" t="str">
        <x:v>routing approval; claim review; phone forwarding test; canonical/domain approval; review source records and site-specific project photos; Form-only preview; 336-842-0660 is not in the CallRail inventory and needs a tracker; production performance trace</x:v>
      </x:c>
    </x:row>
  </x:sheetData>
  <x:conditionalFormatting sqref="P2:P30">
    <x:cfRule type="containsText" dxfId="0" priority="1" operator="containsText" text="Verified CallRail tracker:"/>
    <x:cfRule type="containsText" dxfId="1" priority="2" operator="containsText" text="shared"/>
    <x:cfRule type="containsText" dxfId="2" priority="3" operator="containsText" text="needs a tracker"/>
  </x:conditionalFormatting>
  <x:pageMargins left="0.7" right="0.7" top="0.75" bottom="0.75" header="0.3" footer="0.3"/>
  <x:tableParts count="1">
    <x:tablePart xmlns:r="http://schemas.openxmlformats.org/officeDocument/2006/relationships" r:id="R9c8278db0a2b4b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1" hidden="0" customWidth="1"/>
    <x:col min="4" max="4" width="21" hidden="0" customWidth="1"/>
    <x:col min="5" max="5" width="56" hidden="0" customWidth="1"/>
    <x:col min="6" max="6" width="56" hidden="0" customWidth="1"/>
  </x:cols>
  <x:sheetData>
    <x:row r="1">
      <x:c r="A1" s="12" t="str">
        <x:v>Site key</x:v>
      </x:c>
      <x:c r="B1" s="12" t="str">
        <x:v>Target domain</x:v>
      </x:c>
      <x:c r="C1" s="12" t="str">
        <x:v>CallRail status</x:v>
      </x:c>
      <x:c r="D1" s="12" t="str">
        <x:v>Page count</x:v>
      </x:c>
      <x:c r="E1" s="12" t="str">
        <x:v>Photo inventory</x:v>
      </x:c>
      <x:c r="F1" s="12" t="str">
        <x:v>Review inventory</x:v>
      </x:c>
    </x:row>
    <x:row r="2">
      <x:c r="A2" s="7" t="str">
        <x:v>austin-drain-guys</x:v>
      </x:c>
      <x:c r="B2" s="7" t="str">
        <x:v>austindrainguys.com</x:v>
      </x:c>
      <x:c r="C2" s="7" t="str">
        <x:v>callrail-active</x:v>
      </x:c>
      <x:c r="D2" s="13" t="n">
        <x:v>12</x:v>
      </x:c>
      <x:c r="E2" s="7" t="str">
        <x:v>Generated trade imagery with recorded provenance</x:v>
      </x:c>
      <x:c r="F2" s="7" t="str">
        <x:v>Customer review copy present; source record pending</x:v>
      </x:c>
    </x:row>
    <x:row r="3">
      <x:c r="A3" s="7" t="str">
        <x:v>baltimore-french-drain</x:v>
      </x:c>
      <x:c r="B3" s="7" t="str">
        <x:v>baltimorefrenchdrain.com</x:v>
      </x:c>
      <x:c r="C3" s="7" t="str">
        <x:v>callrail-active</x:v>
      </x:c>
      <x:c r="D3" s="13" t="n">
        <x:v>12</x:v>
      </x:c>
      <x:c r="E3" s="7" t="str">
        <x:v>Generated trade imagery with recorded provenance</x:v>
      </x:c>
      <x:c r="F3" s="7" t="str">
        <x:v>Customer review copy present; source record pending</x:v>
      </x:c>
    </x:row>
    <x:row r="4">
      <x:c r="A4" s="7" t="str">
        <x:v>charlotte-crawl-space</x:v>
      </x:c>
      <x:c r="B4" s="7" t="str">
        <x:v>charlottecrawlspace.com</x:v>
      </x:c>
      <x:c r="C4" s="7" t="str">
        <x:v>callrail-active</x:v>
      </x:c>
      <x:c r="D4" s="13" t="n">
        <x:v>12</x:v>
      </x:c>
      <x:c r="E4" s="7" t="str">
        <x:v>Generated trade imagery with recorded provenance</x:v>
      </x:c>
      <x:c r="F4" s="7" t="str">
        <x:v>Customer review copy present; source record pending</x:v>
      </x:c>
    </x:row>
    <x:row r="5">
      <x:c r="A5" s="7" t="str">
        <x:v>charlotte-precision-walls</x:v>
      </x:c>
      <x:c r="B5" s="7" t="str">
        <x:v>charlotteprecisionwalls.com</x:v>
      </x:c>
      <x:c r="C5" s="7" t="str">
        <x:v>callrail-active</x:v>
      </x:c>
      <x:c r="D5" s="13" t="n">
        <x:v>12</x:v>
      </x:c>
      <x:c r="E5" s="7" t="str">
        <x:v>Generated trade imagery with recorded provenance</x:v>
      </x:c>
      <x:c r="F5" s="7" t="str">
        <x:v>Customer review copy present; source record pending</x:v>
      </x:c>
    </x:row>
    <x:row r="6">
      <x:c r="A6" s="7" t="str">
        <x:v>chicago-drainage-guys</x:v>
      </x:c>
      <x:c r="B6" s="7" t="str">
        <x:v>chicagodrainageguys.com</x:v>
      </x:c>
      <x:c r="C6" s="7" t="str">
        <x:v>callrail-shared</x:v>
      </x:c>
      <x:c r="D6" s="13" t="n">
        <x:v>12</x:v>
      </x:c>
      <x:c r="E6" s="7" t="str">
        <x:v>Generated trade imagery with recorded provenance</x:v>
      </x:c>
      <x:c r="F6" s="7" t="str">
        <x:v>Customer review copy present; source record pending</x:v>
      </x:c>
    </x:row>
    <x:row r="7">
      <x:c r="A7" s="7" t="str">
        <x:v>cincinnati-precision-walls</x:v>
      </x:c>
      <x:c r="B7" s="7" t="str">
        <x:v>cincinnatiprecisionwalls.com</x:v>
      </x:c>
      <x:c r="C7" s="7" t="str">
        <x:v>callrail-active</x:v>
      </x:c>
      <x:c r="D7" s="13" t="n">
        <x:v>12</x:v>
      </x:c>
      <x:c r="E7" s="7" t="str">
        <x:v>Generated trade imagery with recorded provenance</x:v>
      </x:c>
      <x:c r="F7" s="7" t="str">
        <x:v>Customer review copy present; source record pending</x:v>
      </x:c>
    </x:row>
    <x:row r="8">
      <x:c r="A8" s="7" t="str">
        <x:v>connecticut-drain-pros</x:v>
      </x:c>
      <x:c r="B8" s="7" t="str">
        <x:v>connecticutdrainpros.com</x:v>
      </x:c>
      <x:c r="C8" s="7" t="str">
        <x:v>callrail-active</x:v>
      </x:c>
      <x:c r="D8" s="13" t="n">
        <x:v>12</x:v>
      </x:c>
      <x:c r="E8" s="7" t="str">
        <x:v>69 local target photos plus generated trade imagery</x:v>
      </x:c>
      <x:c r="F8" s="7" t="str">
        <x:v>Original target review wording retained</x:v>
      </x:c>
    </x:row>
    <x:row r="9">
      <x:c r="A9" s="7" t="str">
        <x:v>crawlspace-cary-nc</x:v>
      </x:c>
      <x:c r="B9" s="7" t="str">
        <x:v>crawlspacecarync.com</x:v>
      </x:c>
      <x:c r="C9" s="7" t="str">
        <x:v>callrail-active</x:v>
      </x:c>
      <x:c r="D9" s="13" t="n">
        <x:v>12</x:v>
      </x:c>
      <x:c r="E9" s="7" t="str">
        <x:v>Generated trade imagery with recorded provenance</x:v>
      </x:c>
      <x:c r="F9" s="7" t="str">
        <x:v>Customer review copy present; source record pending</x:v>
      </x:c>
    </x:row>
    <x:row r="10">
      <x:c r="A10" s="7" t="str">
        <x:v>crawlspace-durham</x:v>
      </x:c>
      <x:c r="B10" s="7" t="str">
        <x:v>crawlspacedurham.com</x:v>
      </x:c>
      <x:c r="C10" s="7" t="str">
        <x:v>callrail-active</x:v>
      </x:c>
      <x:c r="D10" s="13" t="n">
        <x:v>12</x:v>
      </x:c>
      <x:c r="E10" s="7" t="str">
        <x:v>Generated trade imagery with recorded provenance</x:v>
      </x:c>
      <x:c r="F10" s="7" t="str">
        <x:v>Customer review copy present; source record pending</x:v>
      </x:c>
    </x:row>
    <x:row r="11">
      <x:c r="A11" s="7" t="str">
        <x:v>crawlspace-greensboro</x:v>
      </x:c>
      <x:c r="B11" s="7" t="str">
        <x:v>crawlspacegreensboro.com</x:v>
      </x:c>
      <x:c r="C11" s="7" t="str">
        <x:v>callrail-active</x:v>
      </x:c>
      <x:c r="D11" s="13" t="n">
        <x:v>12</x:v>
      </x:c>
      <x:c r="E11" s="7" t="str">
        <x:v>Generated trade imagery with recorded provenance</x:v>
      </x:c>
      <x:c r="F11" s="7" t="str">
        <x:v>Customer review copy present; source record pending</x:v>
      </x:c>
    </x:row>
    <x:row r="12">
      <x:c r="A12" s="7" t="str">
        <x:v>crawlspace-raleigh</x:v>
      </x:c>
      <x:c r="B12" s="7" t="str">
        <x:v>crawlspaceraleigh.com</x:v>
      </x:c>
      <x:c r="C12" s="7" t="str">
        <x:v>callrail-active</x:v>
      </x:c>
      <x:c r="D12" s="13" t="n">
        <x:v>12</x:v>
      </x:c>
      <x:c r="E12" s="7" t="str">
        <x:v>Generated trade imagery with recorded provenance</x:v>
      </x:c>
      <x:c r="F12" s="7" t="str">
        <x:v>Customer review copy present; source record pending</x:v>
      </x:c>
    </x:row>
    <x:row r="13">
      <x:c r="A13" s="7" t="str">
        <x:v>crawlspace-wilmington</x:v>
      </x:c>
      <x:c r="B13" s="7" t="str">
        <x:v>crawlspacewilmington.com</x:v>
      </x:c>
      <x:c r="C13" s="7" t="str">
        <x:v>not-in-callrail-inventory</x:v>
      </x:c>
      <x:c r="D13" s="13" t="n">
        <x:v>12</x:v>
      </x:c>
      <x:c r="E13" s="7" t="str">
        <x:v>Generated trade imagery with recorded provenance</x:v>
      </x:c>
      <x:c r="F13" s="7" t="str">
        <x:v>Customer review copy present; source record pending</x:v>
      </x:c>
    </x:row>
    <x:row r="14">
      <x:c r="A14" s="7" t="str">
        <x:v>dallas-drain-guys</x:v>
      </x:c>
      <x:c r="B14" s="7" t="str">
        <x:v>dallasdrainguys.com</x:v>
      </x:c>
      <x:c r="C14" s="7" t="str">
        <x:v>callrail-active</x:v>
      </x:c>
      <x:c r="D14" s="13" t="n">
        <x:v>12</x:v>
      </x:c>
      <x:c r="E14" s="7" t="str">
        <x:v>32 local target photos plus generated trade imagery</x:v>
      </x:c>
      <x:c r="F14" s="7" t="str">
        <x:v>Original target review wording retained</x:v>
      </x:c>
    </x:row>
    <x:row r="15">
      <x:c r="A15" s="7" t="str">
        <x:v>greensboro-drain-guys</x:v>
      </x:c>
      <x:c r="B15" s="7" t="str">
        <x:v>greensborodrainguys.com</x:v>
      </x:c>
      <x:c r="C15" s="7" t="str">
        <x:v>callrail-active</x:v>
      </x:c>
      <x:c r="D15" s="13" t="n">
        <x:v>12</x:v>
      </x:c>
      <x:c r="E15" s="7" t="str">
        <x:v>Generated trade imagery with recorded provenance</x:v>
      </x:c>
      <x:c r="F15" s="7" t="str">
        <x:v>Customer review copy present; source record pending</x:v>
      </x:c>
    </x:row>
    <x:row r="16">
      <x:c r="A16" s="7" t="str">
        <x:v>jackson-french-drain</x:v>
      </x:c>
      <x:c r="B16" s="7" t="str">
        <x:v>jacksonfrenchdrain.com</x:v>
      </x:c>
      <x:c r="C16" s="7" t="str">
        <x:v>callrail-active</x:v>
      </x:c>
      <x:c r="D16" s="13" t="n">
        <x:v>12</x:v>
      </x:c>
      <x:c r="E16" s="7" t="str">
        <x:v>Generated trade imagery with recorded provenance</x:v>
      </x:c>
      <x:c r="F16" s="7" t="str">
        <x:v>Customer review copy present; source record pending</x:v>
      </x:c>
    </x:row>
    <x:row r="17">
      <x:c r="A17" s="7" t="str">
        <x:v>little-rock-french-drain</x:v>
      </x:c>
      <x:c r="B17" s="7" t="str">
        <x:v>littlerockfrenchdrain.com</x:v>
      </x:c>
      <x:c r="C17" s="7" t="str">
        <x:v>callrail-active</x:v>
      </x:c>
      <x:c r="D17" s="13" t="n">
        <x:v>12</x:v>
      </x:c>
      <x:c r="E17" s="7" t="str">
        <x:v>Generated trade imagery with recorded provenance</x:v>
      </x:c>
      <x:c r="F17" s="7" t="str">
        <x:v>Customer review copy present; source record pending</x:v>
      </x:c>
    </x:row>
    <x:row r="18">
      <x:c r="A18" s="7" t="str">
        <x:v>little-rock-precision-walls</x:v>
      </x:c>
      <x:c r="B18" s="7" t="str">
        <x:v>littlerockprecisionwalls.com</x:v>
      </x:c>
      <x:c r="C18" s="7" t="str">
        <x:v>callrail-active</x:v>
      </x:c>
      <x:c r="D18" s="13" t="n">
        <x:v>12</x:v>
      </x:c>
      <x:c r="E18" s="7" t="str">
        <x:v>Generated trade imagery with recorded provenance</x:v>
      </x:c>
      <x:c r="F18" s="7" t="str">
        <x:v>Customer review copy present; source record pending</x:v>
      </x:c>
    </x:row>
    <x:row r="19">
      <x:c r="A19" s="7" t="str">
        <x:v>louisville-precision-walls</x:v>
      </x:c>
      <x:c r="B19" s="7" t="str">
        <x:v>louisvilleprecisionwalls.com</x:v>
      </x:c>
      <x:c r="C19" s="7" t="str">
        <x:v>callrail-active</x:v>
      </x:c>
      <x:c r="D19" s="13" t="n">
        <x:v>12</x:v>
      </x:c>
      <x:c r="E19" s="7" t="str">
        <x:v>76 local target photos plus generated trade imagery</x:v>
      </x:c>
      <x:c r="F19" s="7" t="str">
        <x:v>Original target review wording retained</x:v>
      </x:c>
    </x:row>
    <x:row r="20">
      <x:c r="A20" s="7" t="str">
        <x:v>morgantown-fence-pros</x:v>
      </x:c>
      <x:c r="B20" s="7" t="str">
        <x:v>morgantownfencepros.com</x:v>
      </x:c>
      <x:c r="C20" s="7" t="str">
        <x:v>callrail-shared</x:v>
      </x:c>
      <x:c r="D20" s="13" t="n">
        <x:v>12</x:v>
      </x:c>
      <x:c r="E20" s="7" t="str">
        <x:v>5 localized target photos plus generated trade imagery</x:v>
      </x:c>
      <x:c r="F20" s="7" t="str">
        <x:v>Original target review wording retained</x:v>
      </x:c>
    </x:row>
    <x:row r="21">
      <x:c r="A21" s="7" t="str">
        <x:v>naples-pool-pros</x:v>
      </x:c>
      <x:c r="B21" s="7" t="str">
        <x:v>naplespoolpros.com</x:v>
      </x:c>
      <x:c r="C21" s="7" t="str">
        <x:v>not-in-callrail-inventory</x:v>
      </x:c>
      <x:c r="D21" s="13" t="n">
        <x:v>12</x:v>
      </x:c>
      <x:c r="E21" s="7" t="str">
        <x:v>Generated trade imagery with recorded provenance</x:v>
      </x:c>
      <x:c r="F21" s="7" t="str">
        <x:v>Customer review copy present; source record pending</x:v>
      </x:c>
    </x:row>
    <x:row r="22">
      <x:c r="A22" s="7" t="str">
        <x:v>nashville-crawlspace</x:v>
      </x:c>
      <x:c r="B22" s="7" t="str">
        <x:v>nashville-crawlspace.com</x:v>
      </x:c>
      <x:c r="C22" s="7" t="str">
        <x:v>not-in-callrail-inventory</x:v>
      </x:c>
      <x:c r="D22" s="13" t="n">
        <x:v>12</x:v>
      </x:c>
      <x:c r="E22" s="7" t="str">
        <x:v>Generated trade imagery with recorded provenance</x:v>
      </x:c>
      <x:c r="F22" s="7" t="str">
        <x:v>Customer review copy present; source record pending</x:v>
      </x:c>
    </x:row>
    <x:row r="23">
      <x:c r="A23" s="7" t="str">
        <x:v>nashville-backyards</x:v>
      </x:c>
      <x:c r="B23" s="7" t="str">
        <x:v>nashvillebackyards.com</x:v>
      </x:c>
      <x:c r="C23" s="7" t="str">
        <x:v>not-in-callrail-inventory</x:v>
      </x:c>
      <x:c r="D23" s="13" t="n">
        <x:v>12</x:v>
      </x:c>
      <x:c r="E23" s="7" t="str">
        <x:v>Generated trade imagery with recorded provenance</x:v>
      </x:c>
      <x:c r="F23" s="7" t="str">
        <x:v>Customer review copy present; source record pending</x:v>
      </x:c>
    </x:row>
    <x:row r="24">
      <x:c r="A24" s="7" t="str">
        <x:v>new-orleans-french-drain</x:v>
      </x:c>
      <x:c r="B24" s="7" t="str">
        <x:v>neworleansfrenchdrain.com</x:v>
      </x:c>
      <x:c r="C24" s="7" t="str">
        <x:v>callrail-active</x:v>
      </x:c>
      <x:c r="D24" s="13" t="n">
        <x:v>12</x:v>
      </x:c>
      <x:c r="E24" s="7" t="str">
        <x:v>Generated trade imagery with recorded provenance</x:v>
      </x:c>
      <x:c r="F24" s="7" t="str">
        <x:v>Customer review copy present; source record pending</x:v>
      </x:c>
    </x:row>
    <x:row r="25">
      <x:c r="A25" s="7" t="str">
        <x:v>pgh-painting-pros</x:v>
      </x:c>
      <x:c r="B25" s="7" t="str">
        <x:v>pghpaintingpros.com</x:v>
      </x:c>
      <x:c r="C25" s="7" t="str">
        <x:v>not-in-callrail-inventory</x:v>
      </x:c>
      <x:c r="D25" s="13" t="n">
        <x:v>12</x:v>
      </x:c>
      <x:c r="E25" s="7" t="str">
        <x:v>Generated trade imagery with recorded provenance</x:v>
      </x:c>
      <x:c r="F25" s="7" t="str">
        <x:v>Customer review copy present; source record pending</x:v>
      </x:c>
    </x:row>
    <x:row r="26">
      <x:c r="A26" s="7" t="str">
        <x:v>pgh-pool-service</x:v>
      </x:c>
      <x:c r="B26" s="7" t="str">
        <x:v>pghpoolservice.com</x:v>
      </x:c>
      <x:c r="C26" s="7" t="str">
        <x:v>callrail-active</x:v>
      </x:c>
      <x:c r="D26" s="13" t="n">
        <x:v>12</x:v>
      </x:c>
      <x:c r="E26" s="7" t="str">
        <x:v>Generated trade imagery with recorded provenance</x:v>
      </x:c>
      <x:c r="F26" s="7" t="str">
        <x:v>Customer review copy present; source record pending</x:v>
      </x:c>
    </x:row>
    <x:row r="27">
      <x:c r="A27" s="7" t="str">
        <x:v>pittsburgh-french-drain</x:v>
      </x:c>
      <x:c r="B27" s="7" t="str">
        <x:v>pghfrenchdrain.com</x:v>
      </x:c>
      <x:c r="C27" s="7" t="str">
        <x:v>callrail-active</x:v>
      </x:c>
      <x:c r="D27" s="13" t="n">
        <x:v>12</x:v>
      </x:c>
      <x:c r="E27" s="7" t="str">
        <x:v>45 local target photos plus generated trade imagery</x:v>
      </x:c>
      <x:c r="F27" s="7" t="str">
        <x:v>Original target review wording retained</x:v>
      </x:c>
    </x:row>
    <x:row r="28">
      <x:c r="A28" s="7" t="str">
        <x:v>salt-lake-city-precision-walls</x:v>
      </x:c>
      <x:c r="B28" s="7" t="str">
        <x:v>saltlakecityprecisionwalls.com</x:v>
      </x:c>
      <x:c r="C28" s="7" t="str">
        <x:v>callrail-active</x:v>
      </x:c>
      <x:c r="D28" s="13" t="n">
        <x:v>12</x:v>
      </x:c>
      <x:c r="E28" s="7" t="str">
        <x:v>Generated trade imagery with recorded provenance</x:v>
      </x:c>
      <x:c r="F28" s="7" t="str">
        <x:v>Customer review copy present; source record pending</x:v>
      </x:c>
    </x:row>
    <x:row r="29">
      <x:c r="A29" s="7" t="str">
        <x:v>tulsa-drain-pros</x:v>
      </x:c>
      <x:c r="B29" s="7" t="str">
        <x:v>tulsadrainpros.com</x:v>
      </x:c>
      <x:c r="C29" s="7" t="str">
        <x:v>callrail-active</x:v>
      </x:c>
      <x:c r="D29" s="13" t="n">
        <x:v>12</x:v>
      </x:c>
      <x:c r="E29" s="7" t="str">
        <x:v>Generated trade imagery with recorded provenance</x:v>
      </x:c>
      <x:c r="F29" s="7" t="str">
        <x:v>Customer review copy present; source record pending</x:v>
      </x:c>
    </x:row>
    <x:row r="30">
      <x:c r="A30" s="7" t="str">
        <x:v>ws-crawl-space</x:v>
      </x:c>
      <x:c r="B30" s="7" t="str">
        <x:v>wscrawlspace.com</x:v>
      </x:c>
      <x:c r="C30" s="7" t="str">
        <x:v>not-in-callrail-inventory</x:v>
      </x:c>
      <x:c r="D30" s="13" t="n">
        <x:v>12</x:v>
      </x:c>
      <x:c r="E30" s="7" t="str">
        <x:v>Generated trade imagery with recorded provenance</x:v>
      </x:c>
      <x:c r="F30" s="7" t="str">
        <x:v>Customer review copy present; source record pending</x:v>
      </x:c>
    </x:row>
  </x:sheetData>
  <x:pageMargins left="0.7" right="0.7" top="0.75" bottom="0.75" header="0.3" footer="0.3"/>
  <x:tableParts count="1">
    <x:tablePart xmlns:r="http://schemas.openxmlformats.org/officeDocument/2006/relationships" r:id="Rf6537e251d634a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2" hidden="0" customWidth="1"/>
  </x:cols>
  <x:sheetData>
    <x:row r="1" ht="34" customHeight="1">
      <x:c r="A1" s="14" t="str">
        <x:v>LLG portfolio perfection</x:v>
      </x:c>
      <x:c r="B1" s="14" t="str">
        <x:v>Current state</x:v>
      </x:c>
    </x:row>
    <x:row r="2" ht="34" customHeight="1">
      <x:c r="A2" s="7" t="str">
        <x:v>Sites</x:v>
      </x:c>
      <x:c r="B2" s="13" t="n">
        <x:f>COUNTA('Source data'!$A$2:$A$30)</x:f>
        <x:v>29</x:v>
      </x:c>
    </x:row>
    <x:row r="3" ht="34" customHeight="1">
      <x:c r="A3" s="7" t="str">
        <x:v>Pages per site</x:v>
      </x:c>
      <x:c r="B3" s="18" t="n">
        <x:v>12</x:v>
      </x:c>
    </x:row>
    <x:row r="4" ht="34" customHeight="1">
      <x:c r="A4" s="7" t="str">
        <x:v>Generated pages</x:v>
      </x:c>
      <x:c r="B4" s="13" t="n">
        <x:f>SUM('Source data'!$D$2:$D$30)</x:f>
        <x:v>348</x:v>
      </x:c>
    </x:row>
    <x:row r="5" ht="34" customHeight="1">
      <x:c r="A5" s="7" t="str">
        <x:v>Preview deployments</x:v>
      </x:c>
      <x:c r="B5" s="13" t="n">
        <x:f>COUNTA('Source data'!$B$2:$B$30)</x:f>
        <x:v>29</x:v>
      </x:c>
    </x:row>
    <x:row r="6" ht="34" customHeight="1">
      <x:c r="A6" s="7" t="str">
        <x:v>Static audit</x:v>
      </x:c>
      <x:c r="B6" s="7" t="str">
        <x:v>29/29 passed</x:v>
      </x:c>
    </x:row>
    <x:row r="7" ht="34" customHeight="1">
      <x:c r="A7" s="7" t="str">
        <x:v>Responsive homepage checks</x:v>
      </x:c>
      <x:c r="B7" s="7" t="str">
        <x:v>87/87 passed across 1440, 390 and 320 px</x:v>
      </x:c>
    </x:row>
    <x:row r="8" ht="34" customHeight="1">
      <x:c r="A8" s="7" t="str">
        <x:v>Live page / crawl checks</x:v>
      </x:c>
      <x:c r="B8" s="7" t="str">
        <x:v>406/406 passed</x:v>
      </x:c>
    </x:row>
    <x:row r="9" ht="34" customHeight="1">
      <x:c r="A9" s="7" t="str">
        <x:v>Live form test</x:v>
      </x:c>
      <x:c r="B9" s="7" t="str">
        <x:v>Browser -&gt; Turnstile -&gt; Worker -&gt; Supabase: accepted and verified in leads table</x:v>
      </x:c>
    </x:row>
    <x:row r="10" ht="34" customHeight="1">
      <x:c r="A10" s="7" t="str">
        <x:v>CallRail: exact active</x:v>
      </x:c>
      <x:c r="B10" s="13" t="n">
        <x:f>COUNTIF('Source data'!$C$2:$C$30,"callrail-active")</x:f>
        <x:v>21</x:v>
      </x:c>
    </x:row>
    <x:row r="11" ht="34" customHeight="1">
      <x:c r="A11" s="7" t="str">
        <x:v>CallRail: shared/conflicted</x:v>
      </x:c>
      <x:c r="B11" s="13" t="n">
        <x:f>COUNTIF('Source data'!$C$2:$C$30,"callrail-shared")</x:f>
        <x:v>2</x:v>
      </x:c>
    </x:row>
    <x:row r="12" ht="34" customHeight="1">
      <x:c r="A12" s="7" t="str">
        <x:v>CallRail: tracker required</x:v>
      </x:c>
      <x:c r="B12" s="13" t="n">
        <x:f>COUNTIF('Source data'!$C$2:$C$30,"not-in-callrail-inventory")</x:f>
        <x:v>6</x:v>
      </x:c>
    </x:row>
    <x:row r="13" ht="34" customHeight="1">
      <x:c r="A13" s="7" t="str">
        <x:v>Indexing</x:v>
      </x:c>
      <x:c r="B13" s="7" t="str">
        <x:v>All previews noindex; production indexing evidence-gated</x:v>
      </x:c>
    </x:row>
    <x:row r="14" ht="34" customHeight="1">
      <x:c r="A14" s="7" t="str">
        <x:v>pSEO scope</x:v>
      </x:c>
      <x:c r="B14" s="7" t="str">
        <x:v>Primary city plus service pages only; no adjacent-city expansion yet</x:v>
      </x:c>
    </x:row>
    <x:row r="15" ht="34" customHeight="1">
      <x:c r="A15" s="7" t="str">
        <x:v>Analytics</x:v>
      </x:c>
      <x:c r="B15" s="7" t="str">
        <x:v>Cloudflare Web Analytics and Search Console at production-domain approval; GA4 not planned initially</x:v>
      </x:c>
    </x:row>
    <x:row r="16" ht="34" customHeight="1">
      <x:c r="A16" s="7" t="str">
        <x:v>Credentials policy</x:v>
      </x:c>
      <x:c r="B16" s="7" t="str">
        <x:v>No recipient addresses, credentials or secrets copied into this workbook or Git</x:v>
      </x:c>
    </x:row>
    <x:row r="17" ht="34" customHeight="1">
      <x:c r="A17" s="7" t="str">
        <x:v>Production scope</x:v>
      </x:c>
      <x:c r="B17" s="7" t="str">
        <x:v>No custom-domain, DNS, canonical or production deployment changes made</x:v>
      </x:c>
    </x:row>
    <x:row r="18" ht="34" customHeight="1">
      <x:c r="A18" s="7" t="str">
        <x:v>Performance gate</x:v>
      </x:c>
      <x:c r="B18" s="7" t="str">
        <x:v>Chrome DevTools performance profiler unavailable in this workspace; trace still required before production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46" customHeight="1">
      <x:c r="A1" s="14" t="str">
        <x:v>Gate</x:v>
      </x:c>
      <x:c r="B1" s="14" t="str">
        <x:v>Required evidence</x:v>
      </x:c>
      <x:c r="C1" s="14" t="str">
        <x:v>Current state</x:v>
      </x:c>
      <x:c r="D1" s="14" t="str">
        <x:v>Owner / next action</x:v>
      </x:c>
    </x:row>
    <x:row r="2" ht="46" customHeight="1">
      <x:c r="A2" s="7" t="str">
        <x:v>Brand</x:v>
      </x:c>
      <x:c r="B2" s="7" t="str">
        <x:v>Approved logo files, palette and font licenses</x:v>
      </x:c>
      <x:c r="C2" s="7" t="str">
        <x:v>Approved brand-board primary mark, icon and favicon extracted; palette/type applied</x:v>
      </x:c>
      <x:c r="D2" s="7" t="str">
        <x:v>Supply licensed font files and optional vector/reversed variants if required</x:v>
      </x:c>
    </x:row>
    <x:row r="3" ht="46" customHeight="1">
      <x:c r="A3" s="7" t="str">
        <x:v>Business identity</x:v>
      </x:c>
      <x:c r="B3" s="7" t="str">
        <x:v>Approved public operator name, domain, phone, GBP and address facts</x:v>
      </x:c>
      <x:c r="C3" s="7" t="str">
        <x:v>Workbook candidates imported but not treated as verified</x:v>
      </x:c>
      <x:c r="D3" s="7" t="str">
        <x:v>Approve public facts per site; resolve Nashville and Pittsburgh exceptions</x:v>
      </x:c>
    </x:row>
    <x:row r="4" ht="46" customHeight="1">
      <x:c r="A4" s="7" t="str">
        <x:v>Photos</x:v>
      </x:c>
      <x:c r="B4" s="7" t="str">
        <x:v>Attributable local project media</x:v>
      </x:c>
      <x:c r="C4" s="7" t="str">
        <x:v>First five retain local media; all trades also use generated LLG workspace imagery with provenance</x:v>
      </x:c>
      <x:c r="D4" s="7" t="str">
        <x:v>Replace generated imagery with site-specific project photos as supplied</x:v>
      </x:c>
    </x:row>
    <x:row r="5" ht="46" customHeight="1">
      <x:c r="A5" s="7" t="str">
        <x:v>Reviews</x:v>
      </x:c>
      <x:c r="B5" s="7" t="str">
        <x:v>Approved wording and source records</x:v>
      </x:c>
      <x:c r="C5" s="7" t="str">
        <x:v>Customer review copy is present on all 29 homepages; first-five source wording retained</x:v>
      </x:c>
      <x:c r="D5" s="7" t="str">
        <x:v>Attach source records and approve wording before production indexing</x:v>
      </x:c>
    </x:row>
    <x:row r="6" ht="46" customHeight="1">
      <x:c r="A6" s="7" t="str">
        <x:v>Lead forms</x:v>
      </x:c>
      <x:c r="B6" s="7" t="str">
        <x:v>Bot protection, origin validation and durable CRM ingestion</x:v>
      </x:c>
      <x:c r="C6" s="7" t="str">
        <x:v>Turnstile -&gt; Cloudflare Worker -&gt; Supabase verified end to end</x:v>
      </x:c>
      <x:c r="D6" s="7" t="str">
        <x:v>Replace test Turnstile keys with production keys before custom-domain promotion</x:v>
      </x:c>
    </x:row>
    <x:row r="7" ht="46" customHeight="1">
      <x:c r="A7" s="7" t="str">
        <x:v>Phone</x:v>
      </x:c>
      <x:c r="B7" s="7" t="str">
        <x:v>Unique CallRail tracker and forwarding test</x:v>
      </x:c>
      <x:c r="C7" s="7" t="str">
        <x:v>21 exact active; 2 shared/conflicted; 6 absent from inventory</x:v>
      </x:c>
      <x:c r="D7" s="7" t="str">
        <x:v>Provision 6 trackers minimum, or 8 for clean one-number-per-site attribution</x:v>
      </x:c>
    </x:row>
    <x:row r="8" ht="46" customHeight="1">
      <x:c r="A8" s="7" t="str">
        <x:v>SMS</x:v>
      </x:c>
      <x:c r="B8" s="7" t="str">
        <x:v>Compliance-approved messaging program</x:v>
      </x:c>
      <x:c r="C8" s="7" t="str">
        <x:v>Consent optional and unchecked; automation disabled</x:v>
      </x:c>
      <x:c r="D8" s="7" t="str">
        <x:v>Separate compliance approval before enabling automated texts</x:v>
      </x:c>
    </x:row>
    <x:row r="9" ht="46" customHeight="1">
      <x:c r="A9" s="7" t="str">
        <x:v>pSEO</x:v>
      </x:c>
      <x:c r="B9" s="7" t="str">
        <x:v>Primary-city and service evidence; no doorway/thin pages</x:v>
      </x:c>
      <x:c r="C9" s="7" t="str">
        <x:v>12-page foundation staged noindex</x:v>
      </x:c>
      <x:c r="D9" s="7" t="str">
        <x:v>Review service facts and search intent; expand locations only with evidence</x:v>
      </x:c>
    </x:row>
    <x:row r="10" ht="46" customHeight="1">
      <x:c r="A10" s="7" t="str">
        <x:v>Technical SEO</x:v>
      </x:c>
      <x:c r="B10" s="7" t="str">
        <x:v>Canonical/domain approval, final schema facts, Search Console</x:v>
      </x:c>
      <x:c r="C10" s="7" t="str">
        <x:v>Staging metadata valid; canonical intentionally absent</x:v>
      </x:c>
      <x:c r="D10" s="7" t="str">
        <x:v>Approve production domain, then generate canonical/sitemap and verify GSC</x:v>
      </x:c>
    </x:row>
    <x:row r="11" ht="46" customHeight="1">
      <x:c r="A11" s="7" t="str">
        <x:v>Performance</x:v>
      </x:c>
      <x:c r="B11" s="7" t="str">
        <x:v>Cold-load trace and Core Web Vitals review</x:v>
      </x:c>
      <x:c r="C11" s="7" t="str">
        <x:v>Pending: required profiler not configured</x:v>
      </x:c>
      <x:c r="D11" s="7" t="str">
        <x:v>Run Chrome DevTools trace before promotion</x:v>
      </x:c>
    </x:row>
    <x:row r="12" ht="46" customHeight="1">
      <x:c r="A12" s="7" t="str">
        <x:v>Release</x:v>
      </x:c>
      <x:c r="B12" s="7" t="str">
        <x:v>All preceding gates approved</x:v>
      </x:c>
      <x:c r="C12" s="7" t="str">
        <x:v>Production held</x:v>
      </x:c>
      <x:c r="D12" s="7" t="str">
        <x:v>Promote in evidence-ready waves only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80" hidden="0" customWidth="1"/>
  </x:cols>
  <x:sheetData>
    <x:row r="1" ht="52" customHeight="1">
      <x:c r="A1" s="14" t="str">
        <x:v>Clone style</x:v>
      </x:c>
      <x:c r="B1" s="14" t="str">
        <x:v>Assigned sites</x:v>
      </x:c>
      <x:c r="C1" s="14" t="str">
        <x:v>Authority split</x:v>
      </x:c>
    </x:row>
    <x:row r="2" ht="52" customHeight="1">
      <x:c r="A2" s="7" t="str">
        <x:v>Cincinnati Painting</x:v>
      </x:c>
      <x:c r="B2" s="7" t="str">
        <x:v>PGH Painting Pros</x:v>
      </x:c>
      <x:c r="C2" s="7" t="str">
        <x:v>Clone package controls layout/component geometry; target brand board controls palette/type; target-owned content and approved media control claims.</x:v>
      </x:c>
    </x:row>
    <x:row r="3" ht="52" customHeight="1">
      <x:c r="A3" s="7" t="str">
        <x:v>HorizonFix</x:v>
      </x:c>
      <x:c r="B3" s="7" t="str">
        <x:v>Austin Drain Guys, Connecticut Drain Pros, Jackson French Drain</x:v>
      </x:c>
      <x:c r="C3" s="7" t="str">
        <x:v>Clone package controls layout/component geometry; target brand board controls palette/type; target-owned content and approved media control claims.</x:v>
      </x:c>
    </x:row>
    <x:row r="4" ht="52" customHeight="1">
      <x:c r="A4" s="7" t="str">
        <x:v>Minuteman</x:v>
      </x:c>
      <x:c r="B4" s="7" t="str">
        <x:v>Chicago Drainage Guys, Dallas Drain Guys, Tulsa Drain Pros</x:v>
      </x:c>
      <x:c r="C4" s="7" t="str">
        <x:v>Clone package controls layout/component geometry; target brand board controls palette/type; target-owned content and approved media control claims.</x:v>
      </x:c>
    </x:row>
    <x:row r="5" ht="52" customHeight="1">
      <x:c r="A5" s="7" t="str">
        <x:v>NextGen Windows</x:v>
      </x:c>
      <x:c r="B5" s="7" t="str">
        <x:v>Charlotte Crawl Space, Crawlspace Durham, Crawlspace Wilmington, Nashville Crawlspace</x:v>
      </x:c>
      <x:c r="C5" s="7" t="str">
        <x:v>Clone package controls layout/component geometry; target brand board controls palette/type; target-owned content and approved media control claims.</x:v>
      </x:c>
    </x:row>
    <x:row r="6" ht="52" customHeight="1">
      <x:c r="A6" s="7" t="str">
        <x:v>Pink's Concrete</x:v>
      </x:c>
      <x:c r="B6" s="7" t="str">
        <x:v>Charlotte Precision Walls, Cincinnati Precision Walls, Little Rock Precision Walls, Louisville Precision Walls, Salt Lake City Precision Walls</x:v>
      </x:c>
      <x:c r="C6" s="7" t="str">
        <x:v>Clone package controls layout/component geometry; target brand board controls palette/type; target-owned content and approved media control claims.</x:v>
      </x:c>
    </x:row>
    <x:row r="7" ht="52" customHeight="1">
      <x:c r="A7" s="7" t="str">
        <x:v>Roof Right Now</x:v>
      </x:c>
      <x:c r="B7" s="7" t="str">
        <x:v>Baltimore French Drain, Greensboro Drain Guys, Little Rock French Drain, New Orleans French Drain, Pittsburgh French Drain</x:v>
      </x:c>
      <x:c r="C7" s="7" t="str">
        <x:v>Clone package controls layout/component geometry; target brand board controls palette/type; target-owned content and approved media control claims.</x:v>
      </x:c>
    </x:row>
    <x:row r="8" ht="52" customHeight="1">
      <x:c r="A8" s="7" t="str">
        <x:v>Trips Windows — Full Export</x:v>
      </x:c>
      <x:c r="B8" s="7" t="str">
        <x:v>Crawlspace Raleigh, PGH Pool Service</x:v>
      </x:c>
      <x:c r="C8" s="7" t="str">
        <x:v>Clone package controls layout/component geometry; target brand board controls palette/type; target-owned content and approved media control claims.</x:v>
      </x:c>
    </x:row>
    <x:row r="9" ht="52" customHeight="1">
      <x:c r="A9" s="7" t="str">
        <x:v>Trips Windows — Small Export</x:v>
      </x:c>
      <x:c r="B9" s="7" t="str">
        <x:v>Crawlspace Cary NC, Naples Pool Pros</x:v>
      </x:c>
      <x:c r="C9" s="7" t="str">
        <x:v>Clone package controls layout/component geometry; target brand board controls palette/type; target-owned content and approved media control claims.</x:v>
      </x:c>
    </x:row>
    <x:row r="10" ht="52" customHeight="1">
      <x:c r="A10" s="7" t="str">
        <x:v>Welborn Garage</x:v>
      </x:c>
      <x:c r="B10" s="7" t="str">
        <x:v>Crawlspace Greensboro, Morgantown Fence Pros, Nashville Backyards, WS Crawl Space</x:v>
      </x:c>
      <x:c r="C10" s="7" t="str">
        <x:v>Clone package controls layout/component geometry; target brand board controls palette/type; target-owned content and approved media control claims.</x:v>
      </x:c>
    </x:row>
  </x:sheetData>
  <x:pageMargins left="0.7" right="0.7" top="0.75" bottom="0.75" header="0.3" footer="0.3"/>
</x:worksheet>
</file>